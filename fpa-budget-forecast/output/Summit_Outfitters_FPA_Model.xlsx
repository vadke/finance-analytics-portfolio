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Data" sheetId="3" state="visible" r:id="rId5"/>
    <sheet name="Budget vs Actual" sheetId="4" state="visible" r:id="rId6"/>
    <sheet name="Foreca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<sst xmlns="http://schemas.openxmlformats.org/spreadsheetml/2006/main" count="579" uniqueCount="81">
  <si>
    <t xml:space="preserve">Summit Outfitters FP&amp;A Model (simulated data)</t>
  </si>
  <si>
    <t xml:space="preserve">Purpose: FY2026 budget vs. actual variance analysis and a 12-month rolling forecast with scenarios.</t>
  </si>
  <si>
    <t xml:space="preserve">Data: simulated monthly P&amp;L for a fictional specialty retailer; margins calibrated to public big-box retail peers.</t>
  </si>
  <si>
    <t xml:space="preserve">Actuals run through Sep 2026. Oct 2026 onward is forecast.</t>
  </si>
  <si>
    <t xml:space="preserve">Sheets</t>
  </si>
  <si>
    <t xml:space="preserve">  Assumptions: scenario selector and forecast drivers. Blue = input, yellow = key assumption you can change.</t>
  </si>
  <si>
    <t xml:space="preserve">  Data: monthly budget and actual by P&amp;L line (source: data/pl_monthly.csv, summed across regions and channels).</t>
  </si>
  <si>
    <t xml:space="preserve">  Budget vs Actual: FY2026 by month with variance $ and %, YTD and full-year latest estimate.</t>
  </si>
  <si>
    <t xml:space="preserve">  Forecast: Oct 2026 - Sep 2027 P&amp;L driven by the selected scenario.</t>
  </si>
  <si>
    <t xml:space="preserve">Sign convention: revenue positive, costs negative, so variance = actual - budget is favorable when positive.</t>
  </si>
  <si>
    <t xml:space="preserve">Base revenue forecast: log-linear trend + month-of-year model fitted per region x channel in analysis.py (backtest MAPE 1.51% on Jan-Sep 2026).</t>
  </si>
  <si>
    <t xml:space="preserve">Forecast assumptions</t>
  </si>
  <si>
    <t xml:space="preserve">Selected scenario</t>
  </si>
  <si>
    <t xml:space="preserve">Base</t>
  </si>
  <si>
    <t xml:space="preserve">Choose Base, Upside or Downside</t>
  </si>
  <si>
    <t xml:space="preserve">Scenario</t>
  </si>
  <si>
    <t xml:space="preserve">Revenue multiplier</t>
  </si>
  <si>
    <t xml:space="preserve">Gross margin adj. (pts)</t>
  </si>
  <si>
    <t xml:space="preserve">Upside</t>
  </si>
  <si>
    <t xml:space="preserve">Downside</t>
  </si>
  <si>
    <t xml:space="preserve">Active revenue multiplier</t>
  </si>
  <si>
    <t xml:space="preserve">Active gross margin adj.</t>
  </si>
  <si>
    <t xml:space="preserve">Gross margin, trailing 12 months</t>
  </si>
  <si>
    <t xml:space="preserve">Source: actuals Oct 2025 - Sep 2026 (analysis.py)</t>
  </si>
  <si>
    <t xml:space="preserve">Department</t>
  </si>
  <si>
    <t xml:space="preserve">Fixed cost / month ($)</t>
  </si>
  <si>
    <t xml:space="preserve">Variable rate (% of revenue)</t>
  </si>
  <si>
    <t xml:space="preserve">Store Operations</t>
  </si>
  <si>
    <t xml:space="preserve">Marketing</t>
  </si>
  <si>
    <t xml:space="preserve">Supply Chain &amp; Logistics</t>
  </si>
  <si>
    <t xml:space="preserve">Technology</t>
  </si>
  <si>
    <t xml:space="preserve">General &amp; Administrative</t>
  </si>
  <si>
    <t xml:space="preserve">Fixed and variable splits are OLS fits of monthly department cost on revenue, trailing 12 months (analysis.py).</t>
  </si>
  <si>
    <t xml:space="preserve">Month</t>
  </si>
  <si>
    <t xml:space="preserve">Line item</t>
  </si>
  <si>
    <t xml:space="preserve">Amount ($)</t>
  </si>
  <si>
    <t xml:space="preserve">Forecast month</t>
  </si>
  <si>
    <t xml:space="preserve">Base revenue forecast ($)</t>
  </si>
  <si>
    <t xml:space="preserve">2026-01</t>
  </si>
  <si>
    <t xml:space="preserve">Budget</t>
  </si>
  <si>
    <t xml:space="preserve">Cost of Goods Sold</t>
  </si>
  <si>
    <t xml:space="preserve">2026-10</t>
  </si>
  <si>
    <t xml:space="preserve">Actual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</si>
  <si>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</si>
  <si>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</si>
  <si>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</si>
  <si>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</si>
  <si>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</si>
  <si>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Revenue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</si>
  <si>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</si>
  <si>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</si>
  <si>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</si>
  <si>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</si>
  <si>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</si>
  <si>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</si>
  <si>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Source: analysis.py model output (sum of region x channel models)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</si>
  <si>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</si>
  <si>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</si>
  <si>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</si>
  <si>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</si>
  <si>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</si>
  <si>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</si>
  <si>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</si>
  <si>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</si>
  <si>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FY2026 Budget vs. Actual ($000s)</t>
  </si>
  <si>
    <t xml:space="preserve">Actuals through Sep 2026. Variance = Actual - Budget; positive is favorable.</t>
  </si>
  <si>
    <t xml:space="preserve">Type</t>
  </si>
  <si>
    <t xml:space="preserve">YTD Budget</t>
  </si>
  <si>
    <t xml:space="preserve">YTD Actual</t>
  </si>
  <si>
    <t xml:space="preserve">YTD Var $</t>
  </si>
  <si>
    <t xml:space="preserve">YTD Var %</t>
  </si>
  <si>
    <t xml:space="preserve">FY Budget</t>
  </si>
  <si>
    <t xml:space="preserve">FY Latest Est.</t>
  </si>
  <si>
    <t xml:space="preserve">FY Var $</t>
  </si>
  <si>
    <t xml:space="preserve">Variance $</t>
  </si>
  <si>
    <t xml:space="preserve">Gross Profit</t>
  </si>
  <si>
    <t xml:space="preserve">Operating Income</t>
  </si>
  <si>
    <t xml:space="preserve">Rolling forecast, Oct 2026 - Sep 2027 ($000s)</t>
  </si>
  <si>
    <t xml:space="preserve">12-mo total</t>
  </si>
  <si>
    <t xml:space="preserve">Total Opex</t>
  </si>
  <si>
    <t xml:space="preserve">Operating margin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</si>
</sst>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\x"/>
    <numFmt numFmtId="166" formatCode="0.0%;\(0.0%\);\-"/>
    <numFmt numFmtId="167" formatCode="\$#,##0;&quot;($&quot;#,##0\);\-"/>
    <numFmt numFmtId="168" formatCode="0.00%"/>
    <numFmt numFmtId="169" formatCode="\$#,##0,;&quot;($&quot;#,##0,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4" t="s">
        <v>11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5" t="s">
        <v>12</v>
      </c>
      <c r="B3" s="6" t="s">
        <v>13</v>
      </c>
      <c r="C3" s="5" t="s">
        <v>14</v>
      </c>
    </row>
    <row r="4" customFormat="false" ht="15" hidden="false" customHeight="false" outlineLevel="0" collapsed="false">
      <c r="A4" s="5"/>
      <c r="B4" s="5"/>
      <c r="C4" s="5"/>
    </row>
    <row r="5" customFormat="false" ht="15" hidden="false" customHeight="false" outlineLevel="0" collapsed="false">
      <c r="A5" s="7" t="s">
        <v>15</v>
      </c>
      <c r="B5" s="7" t="s">
        <v>16</v>
      </c>
      <c r="C5" s="7" t="s">
        <v>17</v>
      </c>
    </row>
    <row r="6" customFormat="false" ht="15" hidden="false" customHeight="false" outlineLevel="0" collapsed="false">
      <c r="A6" s="5" t="s">
        <v>13</v>
      </c>
      <c r="B6" s="8" t="n">
        <v>1</v>
      </c>
      <c r="C6" s="9" t="n">
        <v>0</v>
      </c>
    </row>
    <row r="7" customFormat="false" ht="15" hidden="false" customHeight="false" outlineLevel="0" collapsed="false">
      <c r="A7" s="5" t="s">
        <v>18</v>
      </c>
      <c r="B7" s="8" t="n">
        <v>1.03</v>
      </c>
      <c r="C7" s="9" t="n">
        <v>0.005</v>
      </c>
    </row>
    <row r="8" customFormat="false" ht="15" hidden="false" customHeight="false" outlineLevel="0" collapsed="false">
      <c r="A8" s="5" t="s">
        <v>19</v>
      </c>
      <c r="B8" s="8" t="n">
        <v>0.95</v>
      </c>
      <c r="C8" s="9" t="n">
        <v>-0.01</v>
      </c>
    </row>
    <row r="9" customFormat="false" ht="15" hidden="false" customHeight="false" outlineLevel="0" collapsed="false">
      <c r="A9" s="5"/>
      <c r="B9" s="5"/>
      <c r="C9" s="5"/>
    </row>
    <row r="10" customFormat="false" ht="15" hidden="false" customHeight="false" outlineLevel="0" collapsed="false">
      <c r="A10" s="5" t="s">
        <v>20</v>
      </c>
      <c r="B10" s="10" t="n">
        <f aca="false">INDEX($B$6:$B$8,MATCH($B$3,$A$6:$A$8,0))</f>
        <v>1</v>
      </c>
      <c r="C10" s="5"/>
    </row>
    <row r="11" customFormat="false" ht="15" hidden="false" customHeight="false" outlineLevel="0" collapsed="false">
      <c r="A11" s="5" t="s">
        <v>21</v>
      </c>
      <c r="B11" s="11" t="n">
        <f aca="false">INDEX($C$6:$C$8,MATCH($B$3,$A$6:$A$8,0))</f>
        <v>0</v>
      </c>
      <c r="C11" s="5"/>
    </row>
    <row r="12" customFormat="false" ht="15" hidden="false" customHeight="false" outlineLevel="0" collapsed="false">
      <c r="A12" s="5" t="s">
        <v>22</v>
      </c>
      <c r="B12" s="12" t="n">
        <v>0.37696842</v>
      </c>
      <c r="C12" s="5" t="s">
        <v>23</v>
      </c>
    </row>
    <row r="13" customFormat="false" ht="15" hidden="false" customHeight="false" outlineLevel="0" collapsed="false">
      <c r="A13" s="5"/>
      <c r="B13" s="5"/>
      <c r="C13" s="5"/>
    </row>
    <row r="14" customFormat="false" ht="15" hidden="false" customHeight="false" outlineLevel="0" collapsed="false">
      <c r="A14" s="7" t="s">
        <v>24</v>
      </c>
      <c r="B14" s="7" t="s">
        <v>25</v>
      </c>
      <c r="C14" s="7" t="s">
        <v>26</v>
      </c>
    </row>
    <row r="15" customFormat="false" ht="15" hidden="false" customHeight="false" outlineLevel="0" collapsed="false">
      <c r="A15" s="5" t="s">
        <v>27</v>
      </c>
      <c r="B15" s="13" t="n">
        <v>9667911.96</v>
      </c>
      <c r="C15" s="14" t="n">
        <v>0.05203584</v>
      </c>
    </row>
    <row r="16" customFormat="false" ht="15" hidden="false" customHeight="false" outlineLevel="0" collapsed="false">
      <c r="A16" s="5" t="s">
        <v>28</v>
      </c>
      <c r="B16" s="13" t="n">
        <v>1062931.44</v>
      </c>
      <c r="C16" s="14" t="n">
        <v>0.03519224</v>
      </c>
    </row>
    <row r="17" customFormat="false" ht="15" hidden="false" customHeight="false" outlineLevel="0" collapsed="false">
      <c r="A17" s="5" t="s">
        <v>29</v>
      </c>
      <c r="B17" s="13" t="n">
        <v>1899521.41</v>
      </c>
      <c r="C17" s="14" t="n">
        <v>0.03279161</v>
      </c>
    </row>
    <row r="18" customFormat="false" ht="15" hidden="false" customHeight="false" outlineLevel="0" collapsed="false">
      <c r="A18" s="5" t="s">
        <v>30</v>
      </c>
      <c r="B18" s="13" t="n">
        <v>1718203.16</v>
      </c>
      <c r="C18" s="14" t="n">
        <v>0.00718841</v>
      </c>
    </row>
    <row r="19" customFormat="false" ht="15" hidden="false" customHeight="false" outlineLevel="0" collapsed="false">
      <c r="A19" s="5" t="s">
        <v>31</v>
      </c>
      <c r="B19" s="13" t="n">
        <v>4441154.48</v>
      </c>
      <c r="C19" s="14" t="n">
        <v>0.00031673</v>
      </c>
    </row>
    <row r="20" customFormat="false" ht="15" hidden="false" customHeight="false" outlineLevel="0" collapsed="false">
      <c r="A20" s="5"/>
      <c r="B20" s="5"/>
      <c r="C20" s="5"/>
    </row>
    <row r="21" customFormat="false" ht="15" hidden="false" customHeight="false" outlineLevel="0" collapsed="false">
      <c r="A21" s="5" t="s">
        <v>32</v>
      </c>
      <c r="B21" s="5"/>
      <c r="C21" s="5"/>
    </row>
  </sheetData>
  <dataValidations count="1">
    <dataValidation allowBlank="false" errorStyle="stop" operator="between" showDropDown="false" showErrorMessage="false" showInputMessage="false" sqref="B3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7" t="s">
        <v>33</v>
      </c>
      <c r="B1" s="7" t="s">
        <v>15</v>
      </c>
      <c r="C1" s="7" t="s">
        <v>34</v>
      </c>
      <c r="D1" s="7" t="s">
        <v>35</v>
      </c>
      <c r="E1" s="5"/>
      <c r="F1" s="7" t="s">
        <v>36</v>
      </c>
      <c r="G1" s="7" t="s">
        <v>37</v>
      </c>
    </row>
    <row r="2" customFormat="false" ht="15" hidden="false" customHeight="false" outlineLevel="0" collapsed="false">
      <c r="A2" s="5" t="s">
        <v>38</v>
      </c>
      <c r="B2" s="5" t="s">
        <v>39</v>
      </c>
      <c r="C2" s="5" t="s">
        <v>40</v>
      </c>
      <c r="D2" s="13" t="n">
        <v>-54337297</v>
      </c>
      <c r="E2" s="5"/>
      <c r="F2" s="5" t="s">
        <v>41</v>
      </c>
      <c r="G2" s="13" t="n">
        <v>112395510</v>
      </c>
    </row>
    <row r="3" customFormat="false" ht="15" hidden="false" customHeight="false" outlineLevel="0" collapsed="false">
      <c r="A3" s="5" t="s">
        <v>38</v>
      </c>
      <c r="B3" s="5" t="s">
        <v>42</v>
      </c>
      <c r="C3" s="5" t="s">
        <v>40</v>
      </c>
      <c r="D3" s="13" t="n">
        <v>-54879491</v>
      </c>
      <c r="E3" s="5"/>
      <c r="F3" s="5" t="s">
        <v>43</v>
      </c>
      <c r="G3" s="13" t="n">
        <v>149730186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31</v>
      </c>
      <c r="D4" s="13" t="n">
        <v>-4395523</v>
      </c>
      <c r="E4" s="5"/>
      <c r="F4" s="5" t="s">
        <v>44</v>
      </c>
      <c r="G4" s="13" t="n">
        <v>173779417</v>
      </c>
    </row>
    <row r="5" customFormat="false" ht="15" hidden="false" customHeight="false" outlineLevel="0" collapsed="false">
      <c r="A5" s="5" t="s">
        <v>38</v>
      </c>
      <c r="B5" s="5" t="s">
        <v>42</v>
      </c>
      <c r="C5" s="5" t="s">
        <v>31</v>
      </c>
      <c r="D5" s="13" t="n">
        <v>-4543145</v>
      </c>
      <c r="E5" s="5"/>
      <c r="F5" s="5" t="s">
        <v>45</v>
      </c>
      <c r="G5" s="13" t="n">
        <v>92922171</v>
      </c>
    </row>
    <row r="6" customFormat="false" ht="15" hidden="false" customHeight="false" outlineLevel="0" collapsed="false">
      <c r="A6" s="5" t="s">
        <v>38</v>
      </c>
      <c r="B6" s="5" t="s">
        <v>39</v>
      </c>
      <c r="C6" s="5" t="s">
        <v>28</v>
      </c>
      <c r="D6" s="13" t="n">
        <v>-4166309</v>
      </c>
      <c r="E6" s="5"/>
      <c r="F6" s="5" t="s">
        <v>46</v>
      </c>
      <c r="G6" s="13" t="n">
        <v>86581544</v>
      </c>
    </row>
    <row r="7" customFormat="false" ht="15" hidden="false" customHeight="false" outlineLevel="0" collapsed="false">
      <c r="A7" s="5" t="s">
        <v>38</v>
      </c>
      <c r="B7" s="5" t="s">
        <v>42</v>
      </c>
      <c r="C7" s="5" t="s">
        <v>28</v>
      </c>
      <c r="D7" s="13" t="n">
        <v>-4142386</v>
      </c>
      <c r="E7" s="5"/>
      <c r="F7" s="5" t="s">
        <v>47</v>
      </c>
      <c r="G7" s="13" t="n">
        <v>104542391</v>
      </c>
    </row>
    <row r="8" customFormat="false" ht="15" hidden="false" customHeight="false" outlineLevel="0" collapsed="false">
      <c r="A8" s="5" t="s">
        <v>38</v>
      </c>
      <c r="B8" s="5" t="s">
        <v>39</v>
      </c>
      <c r="C8" s="5" t="s">
        <v>48</v>
      </c>
      <c r="D8" s="13" t="n">
        <v>87640800</v>
      </c>
      <c r="E8" s="5"/>
      <c r="F8" s="5" t="s">
        <v>49</v>
      </c>
      <c r="G8" s="13" t="n">
        <v>114961469</v>
      </c>
    </row>
    <row r="9" customFormat="false" ht="15" hidden="false" customHeight="false" outlineLevel="0" collapsed="false">
      <c r="A9" s="5" t="s">
        <v>38</v>
      </c>
      <c r="B9" s="5" t="s">
        <v>42</v>
      </c>
      <c r="C9" s="5" t="s">
        <v>48</v>
      </c>
      <c r="D9" s="13" t="n">
        <v>87881939</v>
      </c>
      <c r="E9" s="5"/>
      <c r="F9" s="5" t="s">
        <v>50</v>
      </c>
      <c r="G9" s="13" t="n">
        <v>126619163</v>
      </c>
    </row>
    <row r="10" customFormat="false" ht="15" hidden="false" customHeight="false" outlineLevel="0" collapsed="false">
      <c r="A10" s="5" t="s">
        <v>38</v>
      </c>
      <c r="B10" s="5" t="s">
        <v>39</v>
      </c>
      <c r="C10" s="5" t="s">
        <v>27</v>
      </c>
      <c r="D10" s="13" t="n">
        <v>-14346125</v>
      </c>
      <c r="E10" s="5"/>
      <c r="F10" s="5" t="s">
        <v>51</v>
      </c>
      <c r="G10" s="13" t="n">
        <v>134037068</v>
      </c>
    </row>
    <row r="11" customFormat="false" ht="15" hidden="false" customHeight="false" outlineLevel="0" collapsed="false">
      <c r="A11" s="5" t="s">
        <v>38</v>
      </c>
      <c r="B11" s="5" t="s">
        <v>42</v>
      </c>
      <c r="C11" s="5" t="s">
        <v>27</v>
      </c>
      <c r="D11" s="13" t="n">
        <v>-14406840</v>
      </c>
      <c r="E11" s="5"/>
      <c r="F11" s="5" t="s">
        <v>52</v>
      </c>
      <c r="G11" s="13" t="n">
        <v>131622563</v>
      </c>
    </row>
    <row r="12" customFormat="false" ht="15" hidden="false" customHeight="false" outlineLevel="0" collapsed="false">
      <c r="A12" s="5" t="s">
        <v>38</v>
      </c>
      <c r="B12" s="5" t="s">
        <v>39</v>
      </c>
      <c r="C12" s="5" t="s">
        <v>29</v>
      </c>
      <c r="D12" s="13" t="n">
        <v>-4752828</v>
      </c>
      <c r="E12" s="5"/>
      <c r="F12" s="5" t="s">
        <v>53</v>
      </c>
      <c r="G12" s="13" t="n">
        <v>122513825</v>
      </c>
    </row>
    <row r="13" customFormat="false" ht="15" hidden="false" customHeight="false" outlineLevel="0" collapsed="false">
      <c r="A13" s="5" t="s">
        <v>38</v>
      </c>
      <c r="B13" s="5" t="s">
        <v>42</v>
      </c>
      <c r="C13" s="5" t="s">
        <v>29</v>
      </c>
      <c r="D13" s="13" t="n">
        <v>-4937228</v>
      </c>
      <c r="E13" s="5"/>
      <c r="F13" s="5" t="s">
        <v>54</v>
      </c>
      <c r="G13" s="13" t="n">
        <v>114465127</v>
      </c>
    </row>
    <row r="14" customFormat="false" ht="15" hidden="false" customHeight="false" outlineLevel="0" collapsed="false">
      <c r="A14" s="5" t="s">
        <v>38</v>
      </c>
      <c r="B14" s="5" t="s">
        <v>39</v>
      </c>
      <c r="C14" s="5" t="s">
        <v>30</v>
      </c>
      <c r="D14" s="13" t="n">
        <v>-2716303</v>
      </c>
      <c r="E14" s="5"/>
      <c r="F14" s="5"/>
      <c r="G14" s="5"/>
    </row>
    <row r="15" customFormat="false" ht="15" hidden="false" customHeight="false" outlineLevel="0" collapsed="false">
      <c r="A15" s="5" t="s">
        <v>38</v>
      </c>
      <c r="B15" s="5" t="s">
        <v>42</v>
      </c>
      <c r="C15" s="5" t="s">
        <v>30</v>
      </c>
      <c r="D15" s="13" t="n">
        <v>-2382813</v>
      </c>
      <c r="E15" s="5"/>
      <c r="F15" s="5" t="s">
        <v>55</v>
      </c>
      <c r="G15" s="5"/>
    </row>
    <row r="16" customFormat="false" ht="15" hidden="false" customHeight="false" outlineLevel="0" collapsed="false">
      <c r="A16" s="5" t="s">
        <v>56</v>
      </c>
      <c r="B16" s="5" t="s">
        <v>39</v>
      </c>
      <c r="C16" s="5" t="s">
        <v>40</v>
      </c>
      <c r="D16" s="13" t="n">
        <v>-50157504</v>
      </c>
      <c r="E16" s="5"/>
      <c r="F16" s="5"/>
      <c r="G16" s="5"/>
    </row>
    <row r="17" customFormat="false" ht="15" hidden="false" customHeight="false" outlineLevel="0" collapsed="false">
      <c r="A17" s="5" t="s">
        <v>56</v>
      </c>
      <c r="B17" s="5" t="s">
        <v>42</v>
      </c>
      <c r="C17" s="5" t="s">
        <v>40</v>
      </c>
      <c r="D17" s="13" t="n">
        <v>-50845745</v>
      </c>
      <c r="E17" s="5"/>
      <c r="F17" s="5"/>
      <c r="G17" s="5"/>
    </row>
    <row r="18" customFormat="false" ht="15" hidden="false" customHeight="false" outlineLevel="0" collapsed="false">
      <c r="A18" s="5" t="s">
        <v>56</v>
      </c>
      <c r="B18" s="5" t="s">
        <v>39</v>
      </c>
      <c r="C18" s="5" t="s">
        <v>31</v>
      </c>
      <c r="D18" s="13" t="n">
        <v>-4368557</v>
      </c>
      <c r="E18" s="5"/>
      <c r="F18" s="5"/>
      <c r="G18" s="5"/>
    </row>
    <row r="19" customFormat="false" ht="15" hidden="false" customHeight="false" outlineLevel="0" collapsed="false">
      <c r="A19" s="5" t="s">
        <v>56</v>
      </c>
      <c r="B19" s="5" t="s">
        <v>42</v>
      </c>
      <c r="C19" s="5" t="s">
        <v>31</v>
      </c>
      <c r="D19" s="13" t="n">
        <v>-4386297</v>
      </c>
      <c r="E19" s="5"/>
      <c r="F19" s="5"/>
      <c r="G19" s="5"/>
    </row>
    <row r="20" customFormat="false" ht="15" hidden="false" customHeight="false" outlineLevel="0" collapsed="false">
      <c r="A20" s="5" t="s">
        <v>56</v>
      </c>
      <c r="B20" s="5" t="s">
        <v>39</v>
      </c>
      <c r="C20" s="5" t="s">
        <v>28</v>
      </c>
      <c r="D20" s="13" t="n">
        <v>-3923611</v>
      </c>
      <c r="E20" s="5"/>
      <c r="F20" s="5"/>
      <c r="G20" s="5"/>
    </row>
    <row r="21" customFormat="false" ht="15" hidden="false" customHeight="false" outlineLevel="0" collapsed="false">
      <c r="A21" s="5" t="s">
        <v>56</v>
      </c>
      <c r="B21" s="5" t="s">
        <v>42</v>
      </c>
      <c r="C21" s="5" t="s">
        <v>28</v>
      </c>
      <c r="D21" s="13" t="n">
        <v>-3990024</v>
      </c>
      <c r="E21" s="5"/>
      <c r="F21" s="5"/>
      <c r="G21" s="5"/>
    </row>
    <row r="22" customFormat="false" ht="15" hidden="false" customHeight="false" outlineLevel="0" collapsed="false">
      <c r="A22" s="5" t="s">
        <v>56</v>
      </c>
      <c r="B22" s="5" t="s">
        <v>39</v>
      </c>
      <c r="C22" s="5" t="s">
        <v>48</v>
      </c>
      <c r="D22" s="13" t="n">
        <v>80899200</v>
      </c>
      <c r="E22" s="5"/>
      <c r="F22" s="5"/>
      <c r="G22" s="5"/>
    </row>
    <row r="23" customFormat="false" ht="15" hidden="false" customHeight="false" outlineLevel="0" collapsed="false">
      <c r="A23" s="5" t="s">
        <v>56</v>
      </c>
      <c r="B23" s="5" t="s">
        <v>42</v>
      </c>
      <c r="C23" s="5" t="s">
        <v>48</v>
      </c>
      <c r="D23" s="13" t="n">
        <v>81457342</v>
      </c>
      <c r="E23" s="5"/>
      <c r="F23" s="5"/>
      <c r="G23" s="5"/>
    </row>
    <row r="24" customFormat="false" ht="15" hidden="false" customHeight="false" outlineLevel="0" collapsed="false">
      <c r="A24" s="5" t="s">
        <v>56</v>
      </c>
      <c r="B24" s="5" t="s">
        <v>39</v>
      </c>
      <c r="C24" s="5" t="s">
        <v>27</v>
      </c>
      <c r="D24" s="13" t="n">
        <v>-13968595</v>
      </c>
      <c r="E24" s="5"/>
      <c r="F24" s="5"/>
      <c r="G24" s="5"/>
    </row>
    <row r="25" customFormat="false" ht="15" hidden="false" customHeight="false" outlineLevel="0" collapsed="false">
      <c r="A25" s="5" t="s">
        <v>56</v>
      </c>
      <c r="B25" s="5" t="s">
        <v>42</v>
      </c>
      <c r="C25" s="5" t="s">
        <v>27</v>
      </c>
      <c r="D25" s="13" t="n">
        <v>-13690807</v>
      </c>
      <c r="E25" s="5"/>
      <c r="F25" s="5"/>
      <c r="G25" s="5"/>
    </row>
    <row r="26" customFormat="false" ht="15" hidden="false" customHeight="false" outlineLevel="0" collapsed="false">
      <c r="A26" s="5" t="s">
        <v>56</v>
      </c>
      <c r="B26" s="5" t="s">
        <v>39</v>
      </c>
      <c r="C26" s="5" t="s">
        <v>29</v>
      </c>
      <c r="D26" s="13" t="n">
        <v>-4516872</v>
      </c>
      <c r="E26" s="5"/>
      <c r="F26" s="5"/>
      <c r="G26" s="5"/>
    </row>
    <row r="27" customFormat="false" ht="15" hidden="false" customHeight="false" outlineLevel="0" collapsed="false">
      <c r="A27" s="5" t="s">
        <v>56</v>
      </c>
      <c r="B27" s="5" t="s">
        <v>42</v>
      </c>
      <c r="C27" s="5" t="s">
        <v>29</v>
      </c>
      <c r="D27" s="13" t="n">
        <v>-4565386</v>
      </c>
      <c r="E27" s="5"/>
      <c r="F27" s="5"/>
      <c r="G27" s="5"/>
    </row>
    <row r="28" customFormat="false" ht="15" hidden="false" customHeight="false" outlineLevel="0" collapsed="false">
      <c r="A28" s="5" t="s">
        <v>56</v>
      </c>
      <c r="B28" s="5" t="s">
        <v>39</v>
      </c>
      <c r="C28" s="5" t="s">
        <v>30</v>
      </c>
      <c r="D28" s="13" t="n">
        <v>-2691022</v>
      </c>
      <c r="E28" s="5"/>
      <c r="F28" s="5"/>
      <c r="G28" s="5"/>
    </row>
    <row r="29" customFormat="false" ht="15" hidden="false" customHeight="false" outlineLevel="0" collapsed="false">
      <c r="A29" s="5" t="s">
        <v>56</v>
      </c>
      <c r="B29" s="5" t="s">
        <v>42</v>
      </c>
      <c r="C29" s="5" t="s">
        <v>30</v>
      </c>
      <c r="D29" s="13" t="n">
        <v>-2328749</v>
      </c>
      <c r="E29" s="5"/>
      <c r="F29" s="5"/>
      <c r="G29" s="5"/>
    </row>
    <row r="30" customFormat="false" ht="15" hidden="false" customHeight="false" outlineLevel="0" collapsed="false">
      <c r="A30" s="5" t="s">
        <v>57</v>
      </c>
      <c r="B30" s="5" t="s">
        <v>39</v>
      </c>
      <c r="C30" s="5" t="s">
        <v>40</v>
      </c>
      <c r="D30" s="13" t="n">
        <v>-60189004</v>
      </c>
      <c r="E30" s="5"/>
      <c r="F30" s="5"/>
      <c r="G30" s="5"/>
    </row>
    <row r="31" customFormat="false" ht="15" hidden="false" customHeight="false" outlineLevel="0" collapsed="false">
      <c r="A31" s="5" t="s">
        <v>57</v>
      </c>
      <c r="B31" s="5" t="s">
        <v>42</v>
      </c>
      <c r="C31" s="5" t="s">
        <v>40</v>
      </c>
      <c r="D31" s="13" t="n">
        <v>-61506987</v>
      </c>
      <c r="E31" s="5"/>
      <c r="F31" s="5"/>
      <c r="G31" s="5"/>
    </row>
    <row r="32" customFormat="false" ht="15" hidden="false" customHeight="false" outlineLevel="0" collapsed="false">
      <c r="A32" s="5" t="s">
        <v>57</v>
      </c>
      <c r="B32" s="5" t="s">
        <v>39</v>
      </c>
      <c r="C32" s="5" t="s">
        <v>31</v>
      </c>
      <c r="D32" s="13" t="n">
        <v>-4433276</v>
      </c>
      <c r="E32" s="5"/>
      <c r="F32" s="5"/>
      <c r="G32" s="5"/>
    </row>
    <row r="33" customFormat="false" ht="15" hidden="false" customHeight="false" outlineLevel="0" collapsed="false">
      <c r="A33" s="5" t="s">
        <v>57</v>
      </c>
      <c r="B33" s="5" t="s">
        <v>42</v>
      </c>
      <c r="C33" s="5" t="s">
        <v>31</v>
      </c>
      <c r="D33" s="13" t="n">
        <v>-4360422</v>
      </c>
      <c r="E33" s="5"/>
      <c r="F33" s="5"/>
      <c r="G33" s="5"/>
    </row>
    <row r="34" customFormat="false" ht="15" hidden="false" customHeight="false" outlineLevel="0" collapsed="false">
      <c r="A34" s="5" t="s">
        <v>57</v>
      </c>
      <c r="B34" s="5" t="s">
        <v>39</v>
      </c>
      <c r="C34" s="5" t="s">
        <v>28</v>
      </c>
      <c r="D34" s="13" t="n">
        <v>-4506085</v>
      </c>
      <c r="E34" s="5"/>
      <c r="F34" s="5"/>
      <c r="G34" s="5"/>
    </row>
    <row r="35" customFormat="false" ht="15" hidden="false" customHeight="false" outlineLevel="0" collapsed="false">
      <c r="A35" s="5" t="s">
        <v>57</v>
      </c>
      <c r="B35" s="5" t="s">
        <v>42</v>
      </c>
      <c r="C35" s="5" t="s">
        <v>28</v>
      </c>
      <c r="D35" s="13" t="n">
        <v>-4542099</v>
      </c>
      <c r="E35" s="5"/>
      <c r="F35" s="5"/>
      <c r="G35" s="5"/>
    </row>
    <row r="36" customFormat="false" ht="15" hidden="false" customHeight="false" outlineLevel="0" collapsed="false">
      <c r="A36" s="5" t="s">
        <v>57</v>
      </c>
      <c r="B36" s="5" t="s">
        <v>39</v>
      </c>
      <c r="C36" s="5" t="s">
        <v>48</v>
      </c>
      <c r="D36" s="13" t="n">
        <v>97079040</v>
      </c>
      <c r="E36" s="5"/>
      <c r="F36" s="5"/>
      <c r="G36" s="5"/>
    </row>
    <row r="37" customFormat="false" ht="15" hidden="false" customHeight="false" outlineLevel="0" collapsed="false">
      <c r="A37" s="5" t="s">
        <v>57</v>
      </c>
      <c r="B37" s="5" t="s">
        <v>42</v>
      </c>
      <c r="C37" s="5" t="s">
        <v>48</v>
      </c>
      <c r="D37" s="13" t="n">
        <v>98901801</v>
      </c>
      <c r="E37" s="5"/>
      <c r="F37" s="5"/>
      <c r="G37" s="5"/>
    </row>
    <row r="38" customFormat="false" ht="15" hidden="false" customHeight="false" outlineLevel="0" collapsed="false">
      <c r="A38" s="5" t="s">
        <v>57</v>
      </c>
      <c r="B38" s="5" t="s">
        <v>39</v>
      </c>
      <c r="C38" s="5" t="s">
        <v>27</v>
      </c>
      <c r="D38" s="13" t="n">
        <v>-14874666</v>
      </c>
      <c r="E38" s="5"/>
      <c r="F38" s="5"/>
      <c r="G38" s="5"/>
    </row>
    <row r="39" customFormat="false" ht="15" hidden="false" customHeight="false" outlineLevel="0" collapsed="false">
      <c r="A39" s="5" t="s">
        <v>57</v>
      </c>
      <c r="B39" s="5" t="s">
        <v>42</v>
      </c>
      <c r="C39" s="5" t="s">
        <v>27</v>
      </c>
      <c r="D39" s="13" t="n">
        <v>-15339932</v>
      </c>
      <c r="E39" s="5"/>
      <c r="F39" s="5"/>
      <c r="G39" s="5"/>
    </row>
    <row r="40" customFormat="false" ht="15" hidden="false" customHeight="false" outlineLevel="0" collapsed="false">
      <c r="A40" s="5" t="s">
        <v>57</v>
      </c>
      <c r="B40" s="5" t="s">
        <v>39</v>
      </c>
      <c r="C40" s="5" t="s">
        <v>29</v>
      </c>
      <c r="D40" s="13" t="n">
        <v>-5083166</v>
      </c>
      <c r="E40" s="5"/>
      <c r="F40" s="5"/>
      <c r="G40" s="5"/>
    </row>
    <row r="41" customFormat="false" ht="15" hidden="false" customHeight="false" outlineLevel="0" collapsed="false">
      <c r="A41" s="5" t="s">
        <v>57</v>
      </c>
      <c r="B41" s="5" t="s">
        <v>42</v>
      </c>
      <c r="C41" s="5" t="s">
        <v>29</v>
      </c>
      <c r="D41" s="13" t="n">
        <v>-4972794</v>
      </c>
      <c r="E41" s="5"/>
      <c r="F41" s="5"/>
      <c r="G41" s="5"/>
    </row>
    <row r="42" customFormat="false" ht="15" hidden="false" customHeight="false" outlineLevel="0" collapsed="false">
      <c r="A42" s="5" t="s">
        <v>57</v>
      </c>
      <c r="B42" s="5" t="s">
        <v>39</v>
      </c>
      <c r="C42" s="5" t="s">
        <v>30</v>
      </c>
      <c r="D42" s="13" t="n">
        <v>-2751696</v>
      </c>
      <c r="E42" s="5"/>
      <c r="F42" s="5"/>
      <c r="G42" s="5"/>
    </row>
    <row r="43" customFormat="false" ht="15" hidden="false" customHeight="false" outlineLevel="0" collapsed="false">
      <c r="A43" s="5" t="s">
        <v>57</v>
      </c>
      <c r="B43" s="5" t="s">
        <v>42</v>
      </c>
      <c r="C43" s="5" t="s">
        <v>30</v>
      </c>
      <c r="D43" s="13" t="n">
        <v>-2426655</v>
      </c>
      <c r="E43" s="5"/>
      <c r="F43" s="5"/>
      <c r="G43" s="5"/>
    </row>
    <row r="44" customFormat="false" ht="15" hidden="false" customHeight="false" outlineLevel="0" collapsed="false">
      <c r="A44" s="5" t="s">
        <v>58</v>
      </c>
      <c r="B44" s="5" t="s">
        <v>39</v>
      </c>
      <c r="C44" s="5" t="s">
        <v>40</v>
      </c>
      <c r="D44" s="13" t="n">
        <v>-65204756</v>
      </c>
      <c r="E44" s="5"/>
      <c r="F44" s="5"/>
      <c r="G44" s="5"/>
    </row>
    <row r="45" customFormat="false" ht="15" hidden="false" customHeight="false" outlineLevel="0" collapsed="false">
      <c r="A45" s="5" t="s">
        <v>58</v>
      </c>
      <c r="B45" s="5" t="s">
        <v>42</v>
      </c>
      <c r="C45" s="5" t="s">
        <v>40</v>
      </c>
      <c r="D45" s="13" t="n">
        <v>-67532577</v>
      </c>
      <c r="E45" s="5"/>
      <c r="F45" s="5"/>
      <c r="G45" s="5"/>
    </row>
    <row r="46" customFormat="false" ht="15" hidden="false" customHeight="false" outlineLevel="0" collapsed="false">
      <c r="A46" s="5" t="s">
        <v>58</v>
      </c>
      <c r="B46" s="5" t="s">
        <v>39</v>
      </c>
      <c r="C46" s="5" t="s">
        <v>31</v>
      </c>
      <c r="D46" s="13" t="n">
        <v>-4465636</v>
      </c>
      <c r="E46" s="5"/>
      <c r="F46" s="5"/>
      <c r="G46" s="5"/>
    </row>
    <row r="47" customFormat="false" ht="15" hidden="false" customHeight="false" outlineLevel="0" collapsed="false">
      <c r="A47" s="5" t="s">
        <v>58</v>
      </c>
      <c r="B47" s="5" t="s">
        <v>42</v>
      </c>
      <c r="C47" s="5" t="s">
        <v>31</v>
      </c>
      <c r="D47" s="13" t="n">
        <v>-4519544</v>
      </c>
      <c r="E47" s="5"/>
      <c r="F47" s="5"/>
      <c r="G47" s="5"/>
    </row>
    <row r="48" customFormat="false" ht="15" hidden="false" customHeight="false" outlineLevel="0" collapsed="false">
      <c r="A48" s="5" t="s">
        <v>58</v>
      </c>
      <c r="B48" s="5" t="s">
        <v>39</v>
      </c>
      <c r="C48" s="5" t="s">
        <v>28</v>
      </c>
      <c r="D48" s="13" t="n">
        <v>-4797323</v>
      </c>
      <c r="E48" s="5"/>
      <c r="F48" s="5"/>
      <c r="G48" s="5"/>
    </row>
    <row r="49" customFormat="false" ht="15" hidden="false" customHeight="false" outlineLevel="0" collapsed="false">
      <c r="A49" s="5" t="s">
        <v>58</v>
      </c>
      <c r="B49" s="5" t="s">
        <v>42</v>
      </c>
      <c r="C49" s="5" t="s">
        <v>28</v>
      </c>
      <c r="D49" s="13" t="n">
        <v>-4886087</v>
      </c>
      <c r="E49" s="5"/>
      <c r="F49" s="5"/>
      <c r="G49" s="5"/>
    </row>
    <row r="50" customFormat="false" ht="15" hidden="false" customHeight="false" outlineLevel="0" collapsed="false">
      <c r="A50" s="5" t="s">
        <v>58</v>
      </c>
      <c r="B50" s="5" t="s">
        <v>39</v>
      </c>
      <c r="C50" s="5" t="s">
        <v>48</v>
      </c>
      <c r="D50" s="13" t="n">
        <v>105168959</v>
      </c>
      <c r="E50" s="5"/>
      <c r="F50" s="5"/>
      <c r="G50" s="5"/>
    </row>
    <row r="51" customFormat="false" ht="15" hidden="false" customHeight="false" outlineLevel="0" collapsed="false">
      <c r="A51" s="5" t="s">
        <v>58</v>
      </c>
      <c r="B51" s="5" t="s">
        <v>42</v>
      </c>
      <c r="C51" s="5" t="s">
        <v>48</v>
      </c>
      <c r="D51" s="13" t="n">
        <v>107856468</v>
      </c>
      <c r="E51" s="5"/>
      <c r="F51" s="5"/>
      <c r="G51" s="5"/>
    </row>
    <row r="52" customFormat="false" ht="15" hidden="false" customHeight="false" outlineLevel="0" collapsed="false">
      <c r="A52" s="5" t="s">
        <v>58</v>
      </c>
      <c r="B52" s="5" t="s">
        <v>39</v>
      </c>
      <c r="C52" s="5" t="s">
        <v>27</v>
      </c>
      <c r="D52" s="13" t="n">
        <v>-15327702</v>
      </c>
      <c r="E52" s="5"/>
      <c r="F52" s="5"/>
      <c r="G52" s="5"/>
    </row>
    <row r="53" customFormat="false" ht="15" hidden="false" customHeight="false" outlineLevel="0" collapsed="false">
      <c r="A53" s="5" t="s">
        <v>58</v>
      </c>
      <c r="B53" s="5" t="s">
        <v>42</v>
      </c>
      <c r="C53" s="5" t="s">
        <v>27</v>
      </c>
      <c r="D53" s="13" t="n">
        <v>-15372226</v>
      </c>
      <c r="E53" s="5"/>
      <c r="F53" s="5"/>
      <c r="G53" s="5"/>
    </row>
    <row r="54" customFormat="false" ht="15" hidden="false" customHeight="false" outlineLevel="0" collapsed="false">
      <c r="A54" s="5" t="s">
        <v>58</v>
      </c>
      <c r="B54" s="5" t="s">
        <v>39</v>
      </c>
      <c r="C54" s="5" t="s">
        <v>29</v>
      </c>
      <c r="D54" s="13" t="n">
        <v>-5366314</v>
      </c>
      <c r="E54" s="5"/>
      <c r="F54" s="5"/>
      <c r="G54" s="5"/>
    </row>
    <row r="55" customFormat="false" ht="15" hidden="false" customHeight="false" outlineLevel="0" collapsed="false">
      <c r="A55" s="5" t="s">
        <v>58</v>
      </c>
      <c r="B55" s="5" t="s">
        <v>42</v>
      </c>
      <c r="C55" s="5" t="s">
        <v>29</v>
      </c>
      <c r="D55" s="13" t="n">
        <v>-5274106</v>
      </c>
      <c r="E55" s="5"/>
      <c r="F55" s="5"/>
      <c r="G55" s="5"/>
    </row>
    <row r="56" customFormat="false" ht="15" hidden="false" customHeight="false" outlineLevel="0" collapsed="false">
      <c r="A56" s="5" t="s">
        <v>58</v>
      </c>
      <c r="B56" s="5" t="s">
        <v>39</v>
      </c>
      <c r="C56" s="5" t="s">
        <v>30</v>
      </c>
      <c r="D56" s="13" t="n">
        <v>-2782034</v>
      </c>
      <c r="E56" s="5"/>
      <c r="F56" s="5"/>
      <c r="G56" s="5"/>
    </row>
    <row r="57" customFormat="false" ht="15" hidden="false" customHeight="false" outlineLevel="0" collapsed="false">
      <c r="A57" s="5" t="s">
        <v>58</v>
      </c>
      <c r="B57" s="5" t="s">
        <v>42</v>
      </c>
      <c r="C57" s="5" t="s">
        <v>30</v>
      </c>
      <c r="D57" s="13" t="n">
        <v>-2377663</v>
      </c>
      <c r="E57" s="5"/>
      <c r="F57" s="5"/>
      <c r="G57" s="5"/>
    </row>
    <row r="58" customFormat="false" ht="15" hidden="false" customHeight="false" outlineLevel="0" collapsed="false">
      <c r="A58" s="5" t="s">
        <v>59</v>
      </c>
      <c r="B58" s="5" t="s">
        <v>39</v>
      </c>
      <c r="C58" s="5" t="s">
        <v>40</v>
      </c>
      <c r="D58" s="13" t="n">
        <v>-71056463</v>
      </c>
      <c r="E58" s="5"/>
      <c r="F58" s="5"/>
      <c r="G58" s="5"/>
    </row>
    <row r="59" customFormat="false" ht="15" hidden="false" customHeight="false" outlineLevel="0" collapsed="false">
      <c r="A59" s="5" t="s">
        <v>59</v>
      </c>
      <c r="B59" s="5" t="s">
        <v>42</v>
      </c>
      <c r="C59" s="5" t="s">
        <v>40</v>
      </c>
      <c r="D59" s="13" t="n">
        <v>-74895410</v>
      </c>
      <c r="E59" s="5"/>
      <c r="F59" s="5"/>
      <c r="G59" s="5"/>
    </row>
    <row r="60" customFormat="false" ht="15" hidden="false" customHeight="false" outlineLevel="0" collapsed="false">
      <c r="A60" s="5" t="s">
        <v>59</v>
      </c>
      <c r="B60" s="5" t="s">
        <v>39</v>
      </c>
      <c r="C60" s="5" t="s">
        <v>31</v>
      </c>
      <c r="D60" s="13" t="n">
        <v>-4503389</v>
      </c>
      <c r="E60" s="5"/>
      <c r="F60" s="5"/>
      <c r="G60" s="5"/>
    </row>
    <row r="61" customFormat="false" ht="15" hidden="false" customHeight="false" outlineLevel="0" collapsed="false">
      <c r="A61" s="5" t="s">
        <v>59</v>
      </c>
      <c r="B61" s="5" t="s">
        <v>42</v>
      </c>
      <c r="C61" s="5" t="s">
        <v>31</v>
      </c>
      <c r="D61" s="13" t="n">
        <v>-4461405</v>
      </c>
      <c r="E61" s="5"/>
      <c r="F61" s="5"/>
      <c r="G61" s="5"/>
    </row>
    <row r="62" customFormat="false" ht="15" hidden="false" customHeight="false" outlineLevel="0" collapsed="false">
      <c r="A62" s="5" t="s">
        <v>59</v>
      </c>
      <c r="B62" s="5" t="s">
        <v>39</v>
      </c>
      <c r="C62" s="5" t="s">
        <v>28</v>
      </c>
      <c r="D62" s="13" t="n">
        <v>-5137099</v>
      </c>
      <c r="E62" s="5"/>
      <c r="F62" s="5"/>
      <c r="G62" s="5"/>
    </row>
    <row r="63" customFormat="false" ht="15" hidden="false" customHeight="false" outlineLevel="0" collapsed="false">
      <c r="A63" s="5" t="s">
        <v>59</v>
      </c>
      <c r="B63" s="5" t="s">
        <v>42</v>
      </c>
      <c r="C63" s="5" t="s">
        <v>28</v>
      </c>
      <c r="D63" s="13" t="n">
        <v>-5066871</v>
      </c>
      <c r="E63" s="5"/>
      <c r="F63" s="5"/>
      <c r="G63" s="5"/>
    </row>
    <row r="64" customFormat="false" ht="15" hidden="false" customHeight="false" outlineLevel="0" collapsed="false">
      <c r="A64" s="5" t="s">
        <v>59</v>
      </c>
      <c r="B64" s="5" t="s">
        <v>39</v>
      </c>
      <c r="C64" s="5" t="s">
        <v>48</v>
      </c>
      <c r="D64" s="13" t="n">
        <v>114607200</v>
      </c>
      <c r="E64" s="5"/>
      <c r="F64" s="5"/>
      <c r="G64" s="5"/>
    </row>
    <row r="65" customFormat="false" ht="15" hidden="false" customHeight="false" outlineLevel="0" collapsed="false">
      <c r="A65" s="5" t="s">
        <v>59</v>
      </c>
      <c r="B65" s="5" t="s">
        <v>42</v>
      </c>
      <c r="C65" s="5" t="s">
        <v>48</v>
      </c>
      <c r="D65" s="13" t="n">
        <v>120266325</v>
      </c>
      <c r="E65" s="5"/>
      <c r="F65" s="5"/>
      <c r="G65" s="5"/>
    </row>
    <row r="66" customFormat="false" ht="15" hidden="false" customHeight="false" outlineLevel="0" collapsed="false">
      <c r="A66" s="5" t="s">
        <v>59</v>
      </c>
      <c r="B66" s="5" t="s">
        <v>39</v>
      </c>
      <c r="C66" s="5" t="s">
        <v>27</v>
      </c>
      <c r="D66" s="13" t="n">
        <v>-15856243</v>
      </c>
      <c r="E66" s="5"/>
      <c r="F66" s="5"/>
      <c r="G66" s="5"/>
    </row>
    <row r="67" customFormat="false" ht="15" hidden="false" customHeight="false" outlineLevel="0" collapsed="false">
      <c r="A67" s="5" t="s">
        <v>59</v>
      </c>
      <c r="B67" s="5" t="s">
        <v>42</v>
      </c>
      <c r="C67" s="5" t="s">
        <v>27</v>
      </c>
      <c r="D67" s="13" t="n">
        <v>-16004074</v>
      </c>
      <c r="E67" s="5"/>
      <c r="F67" s="5"/>
      <c r="G67" s="5"/>
    </row>
    <row r="68" customFormat="false" ht="15" hidden="false" customHeight="false" outlineLevel="0" collapsed="false">
      <c r="A68" s="5" t="s">
        <v>59</v>
      </c>
      <c r="B68" s="5" t="s">
        <v>39</v>
      </c>
      <c r="C68" s="5" t="s">
        <v>29</v>
      </c>
      <c r="D68" s="13" t="n">
        <v>-5696652</v>
      </c>
      <c r="E68" s="5"/>
      <c r="F68" s="5"/>
      <c r="G68" s="5"/>
    </row>
    <row r="69" customFormat="false" ht="15" hidden="false" customHeight="false" outlineLevel="0" collapsed="false">
      <c r="A69" s="5" t="s">
        <v>59</v>
      </c>
      <c r="B69" s="5" t="s">
        <v>42</v>
      </c>
      <c r="C69" s="5" t="s">
        <v>29</v>
      </c>
      <c r="D69" s="13" t="n">
        <v>-5987250</v>
      </c>
      <c r="E69" s="5"/>
      <c r="F69" s="5"/>
      <c r="G69" s="5"/>
    </row>
    <row r="70" customFormat="false" ht="15" hidden="false" customHeight="false" outlineLevel="0" collapsed="false">
      <c r="A70" s="5" t="s">
        <v>59</v>
      </c>
      <c r="B70" s="5" t="s">
        <v>39</v>
      </c>
      <c r="C70" s="5" t="s">
        <v>30</v>
      </c>
      <c r="D70" s="13" t="n">
        <v>-2817427</v>
      </c>
      <c r="E70" s="5"/>
      <c r="F70" s="5"/>
      <c r="G70" s="5"/>
    </row>
    <row r="71" customFormat="false" ht="15" hidden="false" customHeight="false" outlineLevel="0" collapsed="false">
      <c r="A71" s="5" t="s">
        <v>59</v>
      </c>
      <c r="B71" s="5" t="s">
        <v>42</v>
      </c>
      <c r="C71" s="5" t="s">
        <v>30</v>
      </c>
      <c r="D71" s="13" t="n">
        <v>-2511619</v>
      </c>
      <c r="E71" s="5"/>
      <c r="F71" s="5"/>
      <c r="G71" s="5"/>
    </row>
    <row r="72" customFormat="false" ht="15" hidden="false" customHeight="false" outlineLevel="0" collapsed="false">
      <c r="A72" s="5" t="s">
        <v>60</v>
      </c>
      <c r="B72" s="5" t="s">
        <v>39</v>
      </c>
      <c r="C72" s="5" t="s">
        <v>40</v>
      </c>
      <c r="D72" s="13" t="n">
        <v>-75236255</v>
      </c>
      <c r="E72" s="5"/>
      <c r="F72" s="5"/>
      <c r="G72" s="5"/>
    </row>
    <row r="73" customFormat="false" ht="15" hidden="false" customHeight="false" outlineLevel="0" collapsed="false">
      <c r="A73" s="5" t="s">
        <v>60</v>
      </c>
      <c r="B73" s="5" t="s">
        <v>42</v>
      </c>
      <c r="C73" s="5" t="s">
        <v>40</v>
      </c>
      <c r="D73" s="13" t="n">
        <v>-78590907</v>
      </c>
      <c r="E73" s="5"/>
      <c r="F73" s="5"/>
      <c r="G73" s="5"/>
    </row>
    <row r="74" customFormat="false" ht="15" hidden="false" customHeight="false" outlineLevel="0" collapsed="false">
      <c r="A74" s="5" t="s">
        <v>60</v>
      </c>
      <c r="B74" s="5" t="s">
        <v>39</v>
      </c>
      <c r="C74" s="5" t="s">
        <v>31</v>
      </c>
      <c r="D74" s="13" t="n">
        <v>-4530355</v>
      </c>
      <c r="E74" s="5"/>
      <c r="F74" s="5"/>
      <c r="G74" s="5"/>
    </row>
    <row r="75" customFormat="false" ht="15" hidden="false" customHeight="false" outlineLevel="0" collapsed="false">
      <c r="A75" s="5" t="s">
        <v>60</v>
      </c>
      <c r="B75" s="5" t="s">
        <v>42</v>
      </c>
      <c r="C75" s="5" t="s">
        <v>31</v>
      </c>
      <c r="D75" s="13" t="n">
        <v>-4587308</v>
      </c>
      <c r="E75" s="5"/>
      <c r="F75" s="5"/>
      <c r="G75" s="5"/>
    </row>
    <row r="76" customFormat="false" ht="15" hidden="false" customHeight="false" outlineLevel="0" collapsed="false">
      <c r="A76" s="5" t="s">
        <v>60</v>
      </c>
      <c r="B76" s="5" t="s">
        <v>39</v>
      </c>
      <c r="C76" s="5" t="s">
        <v>28</v>
      </c>
      <c r="D76" s="13" t="n">
        <v>-5379797</v>
      </c>
      <c r="E76" s="5"/>
      <c r="F76" s="5"/>
      <c r="G76" s="5"/>
    </row>
    <row r="77" customFormat="false" ht="15" hidden="false" customHeight="false" outlineLevel="0" collapsed="false">
      <c r="A77" s="5" t="s">
        <v>60</v>
      </c>
      <c r="B77" s="5" t="s">
        <v>42</v>
      </c>
      <c r="C77" s="5" t="s">
        <v>28</v>
      </c>
      <c r="D77" s="13" t="n">
        <v>-5641055</v>
      </c>
      <c r="E77" s="5"/>
      <c r="F77" s="5"/>
      <c r="G77" s="5"/>
    </row>
    <row r="78" customFormat="false" ht="15" hidden="false" customHeight="false" outlineLevel="0" collapsed="false">
      <c r="A78" s="5" t="s">
        <v>60</v>
      </c>
      <c r="B78" s="5" t="s">
        <v>39</v>
      </c>
      <c r="C78" s="5" t="s">
        <v>48</v>
      </c>
      <c r="D78" s="13" t="n">
        <v>121348800</v>
      </c>
      <c r="E78" s="5"/>
      <c r="F78" s="5"/>
      <c r="G78" s="5"/>
    </row>
    <row r="79" customFormat="false" ht="15" hidden="false" customHeight="false" outlineLevel="0" collapsed="false">
      <c r="A79" s="5" t="s">
        <v>60</v>
      </c>
      <c r="B79" s="5" t="s">
        <v>42</v>
      </c>
      <c r="C79" s="5" t="s">
        <v>48</v>
      </c>
      <c r="D79" s="13" t="n">
        <v>126029689</v>
      </c>
      <c r="E79" s="5"/>
      <c r="F79" s="5"/>
      <c r="G79" s="5"/>
    </row>
    <row r="80" customFormat="false" ht="15" hidden="false" customHeight="false" outlineLevel="0" collapsed="false">
      <c r="A80" s="5" t="s">
        <v>60</v>
      </c>
      <c r="B80" s="5" t="s">
        <v>39</v>
      </c>
      <c r="C80" s="5" t="s">
        <v>27</v>
      </c>
      <c r="D80" s="13" t="n">
        <v>-16233773</v>
      </c>
      <c r="E80" s="5"/>
      <c r="F80" s="5"/>
      <c r="G80" s="5"/>
    </row>
    <row r="81" customFormat="false" ht="15" hidden="false" customHeight="false" outlineLevel="0" collapsed="false">
      <c r="A81" s="5" t="s">
        <v>60</v>
      </c>
      <c r="B81" s="5" t="s">
        <v>42</v>
      </c>
      <c r="C81" s="5" t="s">
        <v>27</v>
      </c>
      <c r="D81" s="13" t="n">
        <v>-16061457</v>
      </c>
      <c r="E81" s="5"/>
      <c r="F81" s="5"/>
      <c r="G81" s="5"/>
    </row>
    <row r="82" customFormat="false" ht="15" hidden="false" customHeight="false" outlineLevel="0" collapsed="false">
      <c r="A82" s="5" t="s">
        <v>60</v>
      </c>
      <c r="B82" s="5" t="s">
        <v>39</v>
      </c>
      <c r="C82" s="5" t="s">
        <v>29</v>
      </c>
      <c r="D82" s="13" t="n">
        <v>-5932608</v>
      </c>
      <c r="E82" s="5"/>
      <c r="F82" s="5"/>
      <c r="G82" s="5"/>
    </row>
    <row r="83" customFormat="false" ht="15" hidden="false" customHeight="false" outlineLevel="0" collapsed="false">
      <c r="A83" s="5" t="s">
        <v>60</v>
      </c>
      <c r="B83" s="5" t="s">
        <v>42</v>
      </c>
      <c r="C83" s="5" t="s">
        <v>29</v>
      </c>
      <c r="D83" s="13" t="n">
        <v>-6139035</v>
      </c>
      <c r="E83" s="5"/>
      <c r="F83" s="5"/>
      <c r="G83" s="5"/>
    </row>
    <row r="84" customFormat="false" ht="15" hidden="false" customHeight="false" outlineLevel="0" collapsed="false">
      <c r="A84" s="5" t="s">
        <v>60</v>
      </c>
      <c r="B84" s="5" t="s">
        <v>39</v>
      </c>
      <c r="C84" s="5" t="s">
        <v>30</v>
      </c>
      <c r="D84" s="13" t="n">
        <v>-2842708</v>
      </c>
      <c r="E84" s="5"/>
      <c r="F84" s="5"/>
      <c r="G84" s="5"/>
    </row>
    <row r="85" customFormat="false" ht="15" hidden="false" customHeight="false" outlineLevel="0" collapsed="false">
      <c r="A85" s="5" t="s">
        <v>60</v>
      </c>
      <c r="B85" s="5" t="s">
        <v>42</v>
      </c>
      <c r="C85" s="5" t="s">
        <v>30</v>
      </c>
      <c r="D85" s="13" t="n">
        <v>-2636972</v>
      </c>
      <c r="E85" s="5"/>
      <c r="F85" s="5"/>
      <c r="G85" s="5"/>
    </row>
    <row r="86" customFormat="false" ht="15" hidden="false" customHeight="false" outlineLevel="0" collapsed="false">
      <c r="A86" s="5" t="s">
        <v>61</v>
      </c>
      <c r="B86" s="5" t="s">
        <v>39</v>
      </c>
      <c r="C86" s="5" t="s">
        <v>40</v>
      </c>
      <c r="D86" s="13" t="n">
        <v>-73564339</v>
      </c>
      <c r="E86" s="5"/>
      <c r="F86" s="5"/>
      <c r="G86" s="5"/>
    </row>
    <row r="87" customFormat="false" ht="15" hidden="false" customHeight="false" outlineLevel="0" collapsed="false">
      <c r="A87" s="5" t="s">
        <v>61</v>
      </c>
      <c r="B87" s="5" t="s">
        <v>42</v>
      </c>
      <c r="C87" s="5" t="s">
        <v>40</v>
      </c>
      <c r="D87" s="13" t="n">
        <v>-76562659</v>
      </c>
      <c r="E87" s="5"/>
      <c r="F87" s="5"/>
      <c r="G87" s="5"/>
    </row>
    <row r="88" customFormat="false" ht="15" hidden="false" customHeight="false" outlineLevel="0" collapsed="false">
      <c r="A88" s="5" t="s">
        <v>61</v>
      </c>
      <c r="B88" s="5" t="s">
        <v>39</v>
      </c>
      <c r="C88" s="5" t="s">
        <v>31</v>
      </c>
      <c r="D88" s="13" t="n">
        <v>-4519569</v>
      </c>
      <c r="E88" s="5"/>
      <c r="F88" s="5"/>
      <c r="G88" s="5"/>
    </row>
    <row r="89" customFormat="false" ht="15" hidden="false" customHeight="false" outlineLevel="0" collapsed="false">
      <c r="A89" s="5" t="s">
        <v>61</v>
      </c>
      <c r="B89" s="5" t="s">
        <v>42</v>
      </c>
      <c r="C89" s="5" t="s">
        <v>31</v>
      </c>
      <c r="D89" s="13" t="n">
        <v>-4651829</v>
      </c>
      <c r="E89" s="5"/>
      <c r="F89" s="5"/>
      <c r="G89" s="5"/>
    </row>
    <row r="90" customFormat="false" ht="15" hidden="false" customHeight="false" outlineLevel="0" collapsed="false">
      <c r="A90" s="5" t="s">
        <v>61</v>
      </c>
      <c r="B90" s="5" t="s">
        <v>39</v>
      </c>
      <c r="C90" s="5" t="s">
        <v>28</v>
      </c>
      <c r="D90" s="13" t="n">
        <v>-5282718</v>
      </c>
      <c r="E90" s="5"/>
      <c r="F90" s="5"/>
      <c r="G90" s="5"/>
    </row>
    <row r="91" customFormat="false" ht="15" hidden="false" customHeight="false" outlineLevel="0" collapsed="false">
      <c r="A91" s="5" t="s">
        <v>61</v>
      </c>
      <c r="B91" s="5" t="s">
        <v>42</v>
      </c>
      <c r="C91" s="5" t="s">
        <v>28</v>
      </c>
      <c r="D91" s="13" t="n">
        <v>-5432354</v>
      </c>
      <c r="E91" s="5"/>
      <c r="F91" s="5"/>
      <c r="G91" s="5"/>
    </row>
    <row r="92" customFormat="false" ht="15" hidden="false" customHeight="false" outlineLevel="0" collapsed="false">
      <c r="A92" s="5" t="s">
        <v>61</v>
      </c>
      <c r="B92" s="5" t="s">
        <v>39</v>
      </c>
      <c r="C92" s="5" t="s">
        <v>48</v>
      </c>
      <c r="D92" s="13" t="n">
        <v>118652160</v>
      </c>
      <c r="E92" s="5"/>
      <c r="F92" s="5"/>
      <c r="G92" s="5"/>
    </row>
    <row r="93" customFormat="false" ht="15" hidden="false" customHeight="false" outlineLevel="0" collapsed="false">
      <c r="A93" s="5" t="s">
        <v>61</v>
      </c>
      <c r="B93" s="5" t="s">
        <v>42</v>
      </c>
      <c r="C93" s="5" t="s">
        <v>48</v>
      </c>
      <c r="D93" s="13" t="n">
        <v>123314199</v>
      </c>
      <c r="E93" s="5"/>
      <c r="F93" s="5"/>
      <c r="G93" s="5"/>
    </row>
    <row r="94" customFormat="false" ht="15" hidden="false" customHeight="false" outlineLevel="0" collapsed="false">
      <c r="A94" s="5" t="s">
        <v>61</v>
      </c>
      <c r="B94" s="5" t="s">
        <v>39</v>
      </c>
      <c r="C94" s="5" t="s">
        <v>27</v>
      </c>
      <c r="D94" s="13" t="n">
        <v>-16082761</v>
      </c>
      <c r="E94" s="5"/>
      <c r="F94" s="5"/>
      <c r="G94" s="5"/>
    </row>
    <row r="95" customFormat="false" ht="15" hidden="false" customHeight="false" outlineLevel="0" collapsed="false">
      <c r="A95" s="5" t="s">
        <v>61</v>
      </c>
      <c r="B95" s="5" t="s">
        <v>42</v>
      </c>
      <c r="C95" s="5" t="s">
        <v>27</v>
      </c>
      <c r="D95" s="13" t="n">
        <v>-16470566</v>
      </c>
      <c r="E95" s="5"/>
      <c r="F95" s="5"/>
      <c r="G95" s="5"/>
    </row>
    <row r="96" customFormat="false" ht="15" hidden="false" customHeight="false" outlineLevel="0" collapsed="false">
      <c r="A96" s="5" t="s">
        <v>61</v>
      </c>
      <c r="B96" s="5" t="s">
        <v>39</v>
      </c>
      <c r="C96" s="5" t="s">
        <v>29</v>
      </c>
      <c r="D96" s="13" t="n">
        <v>-5838226</v>
      </c>
      <c r="E96" s="5"/>
      <c r="F96" s="5"/>
      <c r="G96" s="5"/>
    </row>
    <row r="97" customFormat="false" ht="15" hidden="false" customHeight="false" outlineLevel="0" collapsed="false">
      <c r="A97" s="5" t="s">
        <v>61</v>
      </c>
      <c r="B97" s="5" t="s">
        <v>42</v>
      </c>
      <c r="C97" s="5" t="s">
        <v>29</v>
      </c>
      <c r="D97" s="13" t="n">
        <v>-6099433</v>
      </c>
      <c r="E97" s="5"/>
      <c r="F97" s="5"/>
      <c r="G97" s="5"/>
    </row>
    <row r="98" customFormat="false" ht="15" hidden="false" customHeight="false" outlineLevel="0" collapsed="false">
      <c r="A98" s="5" t="s">
        <v>61</v>
      </c>
      <c r="B98" s="5" t="s">
        <v>39</v>
      </c>
      <c r="C98" s="5" t="s">
        <v>30</v>
      </c>
      <c r="D98" s="13" t="n">
        <v>-2832596</v>
      </c>
      <c r="E98" s="5"/>
      <c r="F98" s="5"/>
      <c r="G98" s="5"/>
    </row>
    <row r="99" customFormat="false" ht="15" hidden="false" customHeight="false" outlineLevel="0" collapsed="false">
      <c r="A99" s="5" t="s">
        <v>61</v>
      </c>
      <c r="B99" s="5" t="s">
        <v>42</v>
      </c>
      <c r="C99" s="5" t="s">
        <v>30</v>
      </c>
      <c r="D99" s="13" t="n">
        <v>-2539424</v>
      </c>
      <c r="E99" s="5"/>
      <c r="F99" s="5"/>
      <c r="G99" s="5"/>
    </row>
    <row r="100" customFormat="false" ht="15" hidden="false" customHeight="false" outlineLevel="0" collapsed="false">
      <c r="A100" s="5" t="s">
        <v>62</v>
      </c>
      <c r="B100" s="5" t="s">
        <v>39</v>
      </c>
      <c r="C100" s="5" t="s">
        <v>40</v>
      </c>
      <c r="D100" s="13" t="n">
        <v>-68548589</v>
      </c>
      <c r="E100" s="5"/>
      <c r="F100" s="5"/>
      <c r="G100" s="5"/>
    </row>
    <row r="101" customFormat="false" ht="15" hidden="false" customHeight="false" outlineLevel="0" collapsed="false">
      <c r="A101" s="5" t="s">
        <v>62</v>
      </c>
      <c r="B101" s="5" t="s">
        <v>42</v>
      </c>
      <c r="C101" s="5" t="s">
        <v>40</v>
      </c>
      <c r="D101" s="13" t="n">
        <v>-70688494</v>
      </c>
      <c r="E101" s="5"/>
      <c r="F101" s="5"/>
      <c r="G101" s="5"/>
    </row>
    <row r="102" customFormat="false" ht="15" hidden="false" customHeight="false" outlineLevel="0" collapsed="false">
      <c r="A102" s="5" t="s">
        <v>62</v>
      </c>
      <c r="B102" s="5" t="s">
        <v>39</v>
      </c>
      <c r="C102" s="5" t="s">
        <v>31</v>
      </c>
      <c r="D102" s="13" t="n">
        <v>-4487209</v>
      </c>
      <c r="E102" s="5"/>
      <c r="F102" s="5"/>
      <c r="G102" s="5"/>
    </row>
    <row r="103" customFormat="false" ht="15" hidden="false" customHeight="false" outlineLevel="0" collapsed="false">
      <c r="A103" s="5" t="s">
        <v>62</v>
      </c>
      <c r="B103" s="5" t="s">
        <v>42</v>
      </c>
      <c r="C103" s="5" t="s">
        <v>31</v>
      </c>
      <c r="D103" s="13" t="n">
        <v>-4632631</v>
      </c>
      <c r="E103" s="5"/>
      <c r="F103" s="5"/>
      <c r="G103" s="5"/>
    </row>
    <row r="104" customFormat="false" ht="15" hidden="false" customHeight="false" outlineLevel="0" collapsed="false">
      <c r="A104" s="5" t="s">
        <v>62</v>
      </c>
      <c r="B104" s="5" t="s">
        <v>39</v>
      </c>
      <c r="C104" s="5" t="s">
        <v>28</v>
      </c>
      <c r="D104" s="13" t="n">
        <v>-4991481</v>
      </c>
      <c r="E104" s="5"/>
      <c r="F104" s="5"/>
      <c r="G104" s="5"/>
    </row>
    <row r="105" customFormat="false" ht="15" hidden="false" customHeight="false" outlineLevel="0" collapsed="false">
      <c r="A105" s="5" t="s">
        <v>62</v>
      </c>
      <c r="B105" s="5" t="s">
        <v>42</v>
      </c>
      <c r="C105" s="5" t="s">
        <v>28</v>
      </c>
      <c r="D105" s="13" t="n">
        <v>-5042877</v>
      </c>
      <c r="E105" s="5"/>
      <c r="F105" s="5"/>
      <c r="G105" s="5"/>
    </row>
    <row r="106" customFormat="false" ht="15" hidden="false" customHeight="false" outlineLevel="0" collapsed="false">
      <c r="A106" s="5" t="s">
        <v>62</v>
      </c>
      <c r="B106" s="5" t="s">
        <v>39</v>
      </c>
      <c r="C106" s="5" t="s">
        <v>48</v>
      </c>
      <c r="D106" s="13" t="n">
        <v>110562240</v>
      </c>
      <c r="E106" s="5"/>
      <c r="F106" s="5"/>
      <c r="G106" s="5"/>
    </row>
    <row r="107" customFormat="false" ht="15" hidden="false" customHeight="false" outlineLevel="0" collapsed="false">
      <c r="A107" s="5" t="s">
        <v>62</v>
      </c>
      <c r="B107" s="5" t="s">
        <v>42</v>
      </c>
      <c r="C107" s="5" t="s">
        <v>48</v>
      </c>
      <c r="D107" s="13" t="n">
        <v>113220467</v>
      </c>
      <c r="E107" s="5"/>
      <c r="F107" s="5"/>
      <c r="G107" s="5"/>
    </row>
    <row r="108" customFormat="false" ht="15" hidden="false" customHeight="false" outlineLevel="0" collapsed="false">
      <c r="A108" s="5" t="s">
        <v>62</v>
      </c>
      <c r="B108" s="5" t="s">
        <v>39</v>
      </c>
      <c r="C108" s="5" t="s">
        <v>27</v>
      </c>
      <c r="D108" s="13" t="n">
        <v>-15629725</v>
      </c>
      <c r="E108" s="5"/>
      <c r="F108" s="5"/>
      <c r="G108" s="5"/>
    </row>
    <row r="109" customFormat="false" ht="15" hidden="false" customHeight="false" outlineLevel="0" collapsed="false">
      <c r="A109" s="5" t="s">
        <v>62</v>
      </c>
      <c r="B109" s="5" t="s">
        <v>42</v>
      </c>
      <c r="C109" s="5" t="s">
        <v>27</v>
      </c>
      <c r="D109" s="13" t="n">
        <v>-15614071</v>
      </c>
      <c r="E109" s="5"/>
      <c r="F109" s="5"/>
      <c r="G109" s="5"/>
    </row>
    <row r="110" customFormat="false" ht="15" hidden="false" customHeight="false" outlineLevel="0" collapsed="false">
      <c r="A110" s="5" t="s">
        <v>62</v>
      </c>
      <c r="B110" s="5" t="s">
        <v>39</v>
      </c>
      <c r="C110" s="5" t="s">
        <v>29</v>
      </c>
      <c r="D110" s="13" t="n">
        <v>-5555078</v>
      </c>
      <c r="E110" s="5"/>
      <c r="F110" s="5"/>
      <c r="G110" s="5"/>
    </row>
    <row r="111" customFormat="false" ht="15" hidden="false" customHeight="false" outlineLevel="0" collapsed="false">
      <c r="A111" s="5" t="s">
        <v>62</v>
      </c>
      <c r="B111" s="5" t="s">
        <v>42</v>
      </c>
      <c r="C111" s="5" t="s">
        <v>29</v>
      </c>
      <c r="D111" s="13" t="n">
        <v>-5593996</v>
      </c>
      <c r="E111" s="5"/>
      <c r="F111" s="5"/>
      <c r="G111" s="5"/>
    </row>
    <row r="112" customFormat="false" ht="15" hidden="false" customHeight="false" outlineLevel="0" collapsed="false">
      <c r="A112" s="5" t="s">
        <v>62</v>
      </c>
      <c r="B112" s="5" t="s">
        <v>39</v>
      </c>
      <c r="C112" s="5" t="s">
        <v>30</v>
      </c>
      <c r="D112" s="13" t="n">
        <v>-2802258</v>
      </c>
      <c r="E112" s="5"/>
      <c r="F112" s="5"/>
      <c r="G112" s="5"/>
    </row>
    <row r="113" customFormat="false" ht="15" hidden="false" customHeight="false" outlineLevel="0" collapsed="false">
      <c r="A113" s="5" t="s">
        <v>62</v>
      </c>
      <c r="B113" s="5" t="s">
        <v>42</v>
      </c>
      <c r="C113" s="5" t="s">
        <v>30</v>
      </c>
      <c r="D113" s="13" t="n">
        <v>-2513900</v>
      </c>
      <c r="E113" s="5"/>
      <c r="F113" s="5"/>
      <c r="G113" s="5"/>
    </row>
    <row r="114" customFormat="false" ht="15" hidden="false" customHeight="false" outlineLevel="0" collapsed="false">
      <c r="A114" s="5" t="s">
        <v>63</v>
      </c>
      <c r="B114" s="5" t="s">
        <v>39</v>
      </c>
      <c r="C114" s="5" t="s">
        <v>40</v>
      </c>
      <c r="D114" s="13" t="n">
        <v>-62696880</v>
      </c>
      <c r="E114" s="5"/>
      <c r="F114" s="5"/>
      <c r="G114" s="5"/>
    </row>
    <row r="115" customFormat="false" ht="15" hidden="false" customHeight="false" outlineLevel="0" collapsed="false">
      <c r="A115" s="5" t="s">
        <v>63</v>
      </c>
      <c r="B115" s="5" t="s">
        <v>42</v>
      </c>
      <c r="C115" s="5" t="s">
        <v>40</v>
      </c>
      <c r="D115" s="13" t="n">
        <v>-67327741</v>
      </c>
      <c r="E115" s="5"/>
      <c r="F115" s="5"/>
      <c r="G115" s="5"/>
    </row>
    <row r="116" customFormat="false" ht="15" hidden="false" customHeight="false" outlineLevel="0" collapsed="false">
      <c r="A116" s="5" t="s">
        <v>63</v>
      </c>
      <c r="B116" s="5" t="s">
        <v>39</v>
      </c>
      <c r="C116" s="5" t="s">
        <v>31</v>
      </c>
      <c r="D116" s="13" t="n">
        <v>-4449456</v>
      </c>
      <c r="E116" s="5"/>
      <c r="F116" s="5"/>
      <c r="G116" s="5"/>
    </row>
    <row r="117" customFormat="false" ht="15" hidden="false" customHeight="false" outlineLevel="0" collapsed="false">
      <c r="A117" s="5" t="s">
        <v>63</v>
      </c>
      <c r="B117" s="5" t="s">
        <v>42</v>
      </c>
      <c r="C117" s="5" t="s">
        <v>31</v>
      </c>
      <c r="D117" s="13" t="n">
        <v>-4561747</v>
      </c>
      <c r="E117" s="5"/>
      <c r="F117" s="5"/>
      <c r="G117" s="5"/>
    </row>
    <row r="118" customFormat="false" ht="15" hidden="false" customHeight="false" outlineLevel="0" collapsed="false">
      <c r="A118" s="5" t="s">
        <v>63</v>
      </c>
      <c r="B118" s="5" t="s">
        <v>39</v>
      </c>
      <c r="C118" s="5" t="s">
        <v>28</v>
      </c>
      <c r="D118" s="13" t="n">
        <v>-4651704</v>
      </c>
      <c r="E118" s="5"/>
      <c r="F118" s="5"/>
      <c r="G118" s="5"/>
    </row>
    <row r="119" customFormat="false" ht="15" hidden="false" customHeight="false" outlineLevel="0" collapsed="false">
      <c r="A119" s="5" t="s">
        <v>63</v>
      </c>
      <c r="B119" s="5" t="s">
        <v>42</v>
      </c>
      <c r="C119" s="5" t="s">
        <v>28</v>
      </c>
      <c r="D119" s="13" t="n">
        <v>-4853594</v>
      </c>
      <c r="E119" s="5"/>
      <c r="F119" s="5"/>
      <c r="G119" s="5"/>
    </row>
    <row r="120" customFormat="false" ht="15" hidden="false" customHeight="false" outlineLevel="0" collapsed="false">
      <c r="A120" s="5" t="s">
        <v>63</v>
      </c>
      <c r="B120" s="5" t="s">
        <v>39</v>
      </c>
      <c r="C120" s="5" t="s">
        <v>48</v>
      </c>
      <c r="D120" s="13" t="n">
        <v>101124000</v>
      </c>
      <c r="E120" s="5"/>
      <c r="F120" s="5"/>
      <c r="G120" s="5"/>
    </row>
    <row r="121" customFormat="false" ht="15" hidden="false" customHeight="false" outlineLevel="0" collapsed="false">
      <c r="A121" s="5" t="s">
        <v>63</v>
      </c>
      <c r="B121" s="5" t="s">
        <v>42</v>
      </c>
      <c r="C121" s="5" t="s">
        <v>48</v>
      </c>
      <c r="D121" s="13" t="n">
        <v>107887247</v>
      </c>
      <c r="E121" s="5"/>
      <c r="F121" s="5"/>
      <c r="G121" s="5"/>
    </row>
    <row r="122" customFormat="false" ht="15" hidden="false" customHeight="false" outlineLevel="0" collapsed="false">
      <c r="A122" s="5" t="s">
        <v>63</v>
      </c>
      <c r="B122" s="5" t="s">
        <v>39</v>
      </c>
      <c r="C122" s="5" t="s">
        <v>27</v>
      </c>
      <c r="D122" s="13" t="n">
        <v>-15101184</v>
      </c>
      <c r="E122" s="5"/>
      <c r="F122" s="5"/>
      <c r="G122" s="5"/>
    </row>
    <row r="123" customFormat="false" ht="15" hidden="false" customHeight="false" outlineLevel="0" collapsed="false">
      <c r="A123" s="5" t="s">
        <v>63</v>
      </c>
      <c r="B123" s="5" t="s">
        <v>42</v>
      </c>
      <c r="C123" s="5" t="s">
        <v>27</v>
      </c>
      <c r="D123" s="13" t="n">
        <v>-15337869</v>
      </c>
      <c r="E123" s="5"/>
      <c r="F123" s="5"/>
      <c r="G123" s="5"/>
    </row>
    <row r="124" customFormat="false" ht="15" hidden="false" customHeight="false" outlineLevel="0" collapsed="false">
      <c r="A124" s="5" t="s">
        <v>63</v>
      </c>
      <c r="B124" s="5" t="s">
        <v>39</v>
      </c>
      <c r="C124" s="5" t="s">
        <v>29</v>
      </c>
      <c r="D124" s="13" t="n">
        <v>-5224740</v>
      </c>
      <c r="E124" s="5"/>
      <c r="F124" s="5"/>
      <c r="G124" s="5"/>
    </row>
    <row r="125" customFormat="false" ht="15" hidden="false" customHeight="false" outlineLevel="0" collapsed="false">
      <c r="A125" s="5" t="s">
        <v>63</v>
      </c>
      <c r="B125" s="5" t="s">
        <v>42</v>
      </c>
      <c r="C125" s="5" t="s">
        <v>29</v>
      </c>
      <c r="D125" s="13" t="n">
        <v>-5495760</v>
      </c>
      <c r="E125" s="5"/>
      <c r="F125" s="5"/>
      <c r="G125" s="5"/>
    </row>
    <row r="126" customFormat="false" ht="15" hidden="false" customHeight="false" outlineLevel="0" collapsed="false">
      <c r="A126" s="5" t="s">
        <v>63</v>
      </c>
      <c r="B126" s="5" t="s">
        <v>39</v>
      </c>
      <c r="C126" s="5" t="s">
        <v>30</v>
      </c>
      <c r="D126" s="13" t="n">
        <v>-2766865</v>
      </c>
      <c r="E126" s="5"/>
      <c r="F126" s="5"/>
      <c r="G126" s="5"/>
    </row>
    <row r="127" customFormat="false" ht="15" hidden="false" customHeight="false" outlineLevel="0" collapsed="false">
      <c r="A127" s="5" t="s">
        <v>63</v>
      </c>
      <c r="B127" s="5" t="s">
        <v>42</v>
      </c>
      <c r="C127" s="5" t="s">
        <v>30</v>
      </c>
      <c r="D127" s="13" t="n">
        <v>-2445082</v>
      </c>
      <c r="E127" s="5"/>
      <c r="F127" s="5"/>
      <c r="G127" s="5"/>
    </row>
    <row r="128" customFormat="false" ht="15" hidden="false" customHeight="false" outlineLevel="0" collapsed="false">
      <c r="A128" s="5" t="s">
        <v>41</v>
      </c>
      <c r="B128" s="5" t="s">
        <v>39</v>
      </c>
      <c r="C128" s="5" t="s">
        <v>40</v>
      </c>
      <c r="D128" s="13" t="n">
        <v>-66876672</v>
      </c>
      <c r="E128" s="5"/>
      <c r="F128" s="5"/>
      <c r="G128" s="5"/>
    </row>
    <row r="129" customFormat="false" ht="15" hidden="false" customHeight="false" outlineLevel="0" collapsed="false">
      <c r="A129" s="5" t="s">
        <v>41</v>
      </c>
      <c r="B129" s="5" t="s">
        <v>39</v>
      </c>
      <c r="C129" s="5" t="s">
        <v>31</v>
      </c>
      <c r="D129" s="13" t="n">
        <v>-4476422</v>
      </c>
      <c r="E129" s="5"/>
      <c r="F129" s="5"/>
      <c r="G129" s="5"/>
    </row>
    <row r="130" customFormat="false" ht="15" hidden="false" customHeight="false" outlineLevel="0" collapsed="false">
      <c r="A130" s="5" t="s">
        <v>41</v>
      </c>
      <c r="B130" s="5" t="s">
        <v>39</v>
      </c>
      <c r="C130" s="5" t="s">
        <v>28</v>
      </c>
      <c r="D130" s="13" t="n">
        <v>-4894402</v>
      </c>
      <c r="E130" s="5"/>
      <c r="F130" s="5"/>
      <c r="G130" s="5"/>
    </row>
    <row r="131" customFormat="false" ht="15" hidden="false" customHeight="false" outlineLevel="0" collapsed="false">
      <c r="A131" s="5" t="s">
        <v>41</v>
      </c>
      <c r="B131" s="5" t="s">
        <v>39</v>
      </c>
      <c r="C131" s="5" t="s">
        <v>48</v>
      </c>
      <c r="D131" s="13" t="n">
        <v>107865600</v>
      </c>
      <c r="E131" s="5"/>
      <c r="F131" s="5"/>
      <c r="G131" s="5"/>
    </row>
    <row r="132" customFormat="false" ht="15" hidden="false" customHeight="false" outlineLevel="0" collapsed="false">
      <c r="A132" s="5" t="s">
        <v>41</v>
      </c>
      <c r="B132" s="5" t="s">
        <v>39</v>
      </c>
      <c r="C132" s="5" t="s">
        <v>27</v>
      </c>
      <c r="D132" s="13" t="n">
        <v>-15478714</v>
      </c>
      <c r="E132" s="5"/>
      <c r="F132" s="5"/>
      <c r="G132" s="5"/>
    </row>
    <row r="133" customFormat="false" ht="15" hidden="false" customHeight="false" outlineLevel="0" collapsed="false">
      <c r="A133" s="5" t="s">
        <v>41</v>
      </c>
      <c r="B133" s="5" t="s">
        <v>39</v>
      </c>
      <c r="C133" s="5" t="s">
        <v>29</v>
      </c>
      <c r="D133" s="13" t="n">
        <v>-5460696</v>
      </c>
      <c r="E133" s="5"/>
      <c r="F133" s="5"/>
      <c r="G133" s="5"/>
    </row>
    <row r="134" customFormat="false" ht="15" hidden="false" customHeight="false" outlineLevel="0" collapsed="false">
      <c r="A134" s="5" t="s">
        <v>41</v>
      </c>
      <c r="B134" s="5" t="s">
        <v>39</v>
      </c>
      <c r="C134" s="5" t="s">
        <v>30</v>
      </c>
      <c r="D134" s="13" t="n">
        <v>-2792146</v>
      </c>
      <c r="E134" s="5"/>
      <c r="F134" s="5"/>
      <c r="G134" s="5"/>
    </row>
    <row r="135" customFormat="false" ht="15" hidden="false" customHeight="false" outlineLevel="0" collapsed="false">
      <c r="A135" s="5" t="s">
        <v>43</v>
      </c>
      <c r="B135" s="5" t="s">
        <v>39</v>
      </c>
      <c r="C135" s="5" t="s">
        <v>40</v>
      </c>
      <c r="D135" s="13" t="n">
        <v>-87775631</v>
      </c>
      <c r="E135" s="5"/>
      <c r="F135" s="5"/>
      <c r="G135" s="5"/>
    </row>
    <row r="136" customFormat="false" ht="15" hidden="false" customHeight="false" outlineLevel="0" collapsed="false">
      <c r="A136" s="5" t="s">
        <v>43</v>
      </c>
      <c r="B136" s="5" t="s">
        <v>39</v>
      </c>
      <c r="C136" s="5" t="s">
        <v>31</v>
      </c>
      <c r="D136" s="13" t="n">
        <v>-4611254</v>
      </c>
      <c r="E136" s="5"/>
      <c r="F136" s="5"/>
      <c r="G136" s="5"/>
    </row>
    <row r="137" customFormat="false" ht="15" hidden="false" customHeight="false" outlineLevel="0" collapsed="false">
      <c r="A137" s="5" t="s">
        <v>43</v>
      </c>
      <c r="B137" s="5" t="s">
        <v>39</v>
      </c>
      <c r="C137" s="5" t="s">
        <v>28</v>
      </c>
      <c r="D137" s="13" t="n">
        <v>-6107890</v>
      </c>
      <c r="E137" s="5"/>
      <c r="F137" s="5"/>
      <c r="G137" s="5"/>
    </row>
    <row r="138" customFormat="false" ht="15" hidden="false" customHeight="false" outlineLevel="0" collapsed="false">
      <c r="A138" s="5" t="s">
        <v>43</v>
      </c>
      <c r="B138" s="5" t="s">
        <v>39</v>
      </c>
      <c r="C138" s="5" t="s">
        <v>48</v>
      </c>
      <c r="D138" s="13" t="n">
        <v>141573600</v>
      </c>
      <c r="E138" s="5"/>
      <c r="F138" s="5"/>
      <c r="G138" s="5"/>
    </row>
    <row r="139" customFormat="false" ht="15" hidden="false" customHeight="false" outlineLevel="0" collapsed="false">
      <c r="A139" s="5" t="s">
        <v>43</v>
      </c>
      <c r="B139" s="5" t="s">
        <v>39</v>
      </c>
      <c r="C139" s="5" t="s">
        <v>27</v>
      </c>
      <c r="D139" s="13" t="n">
        <v>-17366362</v>
      </c>
      <c r="E139" s="5"/>
      <c r="F139" s="5"/>
      <c r="G139" s="5"/>
    </row>
    <row r="140" customFormat="false" ht="15" hidden="false" customHeight="false" outlineLevel="0" collapsed="false">
      <c r="A140" s="5" t="s">
        <v>43</v>
      </c>
      <c r="B140" s="5" t="s">
        <v>39</v>
      </c>
      <c r="C140" s="5" t="s">
        <v>29</v>
      </c>
      <c r="D140" s="13" t="n">
        <v>-6640476</v>
      </c>
      <c r="E140" s="5"/>
      <c r="F140" s="5"/>
      <c r="G140" s="5"/>
    </row>
    <row r="141" customFormat="false" ht="15" hidden="false" customHeight="false" outlineLevel="0" collapsed="false">
      <c r="A141" s="5" t="s">
        <v>43</v>
      </c>
      <c r="B141" s="5" t="s">
        <v>39</v>
      </c>
      <c r="C141" s="5" t="s">
        <v>30</v>
      </c>
      <c r="D141" s="13" t="n">
        <v>-2918551</v>
      </c>
      <c r="E141" s="5"/>
      <c r="F141" s="5"/>
      <c r="G141" s="5"/>
    </row>
    <row r="142" customFormat="false" ht="15" hidden="false" customHeight="false" outlineLevel="0" collapsed="false">
      <c r="A142" s="5" t="s">
        <v>44</v>
      </c>
      <c r="B142" s="5" t="s">
        <v>39</v>
      </c>
      <c r="C142" s="5" t="s">
        <v>40</v>
      </c>
      <c r="D142" s="13" t="n">
        <v>-100315007</v>
      </c>
      <c r="E142" s="5"/>
      <c r="F142" s="5"/>
      <c r="G142" s="5"/>
    </row>
    <row r="143" customFormat="false" ht="15" hidden="false" customHeight="false" outlineLevel="0" collapsed="false">
      <c r="A143" s="5" t="s">
        <v>44</v>
      </c>
      <c r="B143" s="5" t="s">
        <v>39</v>
      </c>
      <c r="C143" s="5" t="s">
        <v>31</v>
      </c>
      <c r="D143" s="13" t="n">
        <v>-4692154</v>
      </c>
      <c r="E143" s="5"/>
      <c r="F143" s="5"/>
      <c r="G143" s="5"/>
    </row>
    <row r="144" customFormat="false" ht="15" hidden="false" customHeight="false" outlineLevel="0" collapsed="false">
      <c r="A144" s="5" t="s">
        <v>44</v>
      </c>
      <c r="B144" s="5" t="s">
        <v>39</v>
      </c>
      <c r="C144" s="5" t="s">
        <v>28</v>
      </c>
      <c r="D144" s="13" t="n">
        <v>-6835982</v>
      </c>
      <c r="E144" s="5"/>
      <c r="F144" s="5"/>
      <c r="G144" s="5"/>
    </row>
    <row r="145" customFormat="false" ht="15" hidden="false" customHeight="false" outlineLevel="0" collapsed="false">
      <c r="A145" s="5" t="s">
        <v>44</v>
      </c>
      <c r="B145" s="5" t="s">
        <v>39</v>
      </c>
      <c r="C145" s="5" t="s">
        <v>48</v>
      </c>
      <c r="D145" s="13" t="n">
        <v>161798400</v>
      </c>
      <c r="E145" s="5"/>
      <c r="F145" s="5"/>
      <c r="G145" s="5"/>
    </row>
    <row r="146" customFormat="false" ht="15" hidden="false" customHeight="false" outlineLevel="0" collapsed="false">
      <c r="A146" s="5" t="s">
        <v>44</v>
      </c>
      <c r="B146" s="5" t="s">
        <v>39</v>
      </c>
      <c r="C146" s="5" t="s">
        <v>27</v>
      </c>
      <c r="D146" s="13" t="n">
        <v>-18498950</v>
      </c>
      <c r="E146" s="5"/>
      <c r="F146" s="5"/>
      <c r="G146" s="5"/>
    </row>
    <row r="147" customFormat="false" ht="15" hidden="false" customHeight="false" outlineLevel="0" collapsed="false">
      <c r="A147" s="5" t="s">
        <v>44</v>
      </c>
      <c r="B147" s="5" t="s">
        <v>39</v>
      </c>
      <c r="C147" s="5" t="s">
        <v>29</v>
      </c>
      <c r="D147" s="13" t="n">
        <v>-7348344</v>
      </c>
      <c r="E147" s="5"/>
      <c r="F147" s="5"/>
      <c r="G147" s="5"/>
    </row>
    <row r="148" customFormat="false" ht="15" hidden="false" customHeight="false" outlineLevel="0" collapsed="false">
      <c r="A148" s="5" t="s">
        <v>44</v>
      </c>
      <c r="B148" s="5" t="s">
        <v>39</v>
      </c>
      <c r="C148" s="5" t="s">
        <v>30</v>
      </c>
      <c r="D148" s="13" t="n">
        <v>-2994394</v>
      </c>
      <c r="E148" s="5"/>
      <c r="F148" s="5"/>
      <c r="G14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1" min="2" style="0" width="11"/>
  </cols>
  <sheetData>
    <row r="1" customFormat="false" ht="16.15" hidden="false" customHeight="false" outlineLevel="0" collapsed="false">
      <c r="A1" s="4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customFormat="false" ht="15" hidden="false" customHeight="false" outlineLevel="0" collapsed="false">
      <c r="A2" s="5" t="s">
        <v>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customFormat="false" ht="26.85" hidden="false" customHeight="false" outlineLevel="0" collapsed="false">
      <c r="A4" s="15" t="s">
        <v>34</v>
      </c>
      <c r="B4" s="15" t="s">
        <v>66</v>
      </c>
      <c r="C4" s="15" t="s">
        <v>38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15" t="s">
        <v>61</v>
      </c>
      <c r="J4" s="15" t="s">
        <v>62</v>
      </c>
      <c r="K4" s="15" t="s">
        <v>63</v>
      </c>
      <c r="L4" s="15" t="s">
        <v>41</v>
      </c>
      <c r="M4" s="15" t="s">
        <v>43</v>
      </c>
      <c r="N4" s="15" t="s">
        <v>44</v>
      </c>
      <c r="O4" s="15" t="s">
        <v>67</v>
      </c>
      <c r="P4" s="15" t="s">
        <v>68</v>
      </c>
      <c r="Q4" s="15" t="s">
        <v>69</v>
      </c>
      <c r="R4" s="15" t="s">
        <v>70</v>
      </c>
      <c r="S4" s="15" t="s">
        <v>71</v>
      </c>
      <c r="T4" s="15" t="s">
        <v>72</v>
      </c>
      <c r="U4" s="15" t="s">
        <v>73</v>
      </c>
    </row>
    <row r="5" customFormat="false" ht="15" hidden="false" customHeight="false" outlineLevel="0" collapsed="false">
      <c r="A5" s="5" t="s">
        <v>48</v>
      </c>
      <c r="B5" s="5" t="s">
        <v>39</v>
      </c>
      <c r="C5" s="16" t="n">
        <f aca="false">SUMIFS(Data!$D$2:$D$148,Data!$A$2:$A$148,"2026-01",Data!$B$2:$B$148,"Budget",Data!$C$2:$C$148,"Revenue")</f>
        <v>87640800</v>
      </c>
      <c r="D5" s="16" t="n">
        <f aca="false">SUMIFS(Data!$D$2:$D$148,Data!$A$2:$A$148,"2026-02",Data!$B$2:$B$148,"Budget",Data!$C$2:$C$148,"Revenue")</f>
        <v>80899200</v>
      </c>
      <c r="E5" s="16" t="n">
        <f aca="false">SUMIFS(Data!$D$2:$D$148,Data!$A$2:$A$148,"2026-03",Data!$B$2:$B$148,"Budget",Data!$C$2:$C$148,"Revenue")</f>
        <v>97079040</v>
      </c>
      <c r="F5" s="16" t="n">
        <f aca="false">SUMIFS(Data!$D$2:$D$148,Data!$A$2:$A$148,"2026-04",Data!$B$2:$B$148,"Budget",Data!$C$2:$C$148,"Revenue")</f>
        <v>105168959</v>
      </c>
      <c r="G5" s="16" t="n">
        <f aca="false">SUMIFS(Data!$D$2:$D$148,Data!$A$2:$A$148,"2026-05",Data!$B$2:$B$148,"Budget",Data!$C$2:$C$148,"Revenue")</f>
        <v>114607200</v>
      </c>
      <c r="H5" s="16" t="n">
        <f aca="false">SUMIFS(Data!$D$2:$D$148,Data!$A$2:$A$148,"2026-06",Data!$B$2:$B$148,"Budget",Data!$C$2:$C$148,"Revenue")</f>
        <v>121348800</v>
      </c>
      <c r="I5" s="16" t="n">
        <f aca="false">SUMIFS(Data!$D$2:$D$148,Data!$A$2:$A$148,"2026-07",Data!$B$2:$B$148,"Budget",Data!$C$2:$C$148,"Revenue")</f>
        <v>118652160</v>
      </c>
      <c r="J5" s="16" t="n">
        <f aca="false">SUMIFS(Data!$D$2:$D$148,Data!$A$2:$A$148,"2026-08",Data!$B$2:$B$148,"Budget",Data!$C$2:$C$148,"Revenue")</f>
        <v>110562240</v>
      </c>
      <c r="K5" s="16" t="n">
        <f aca="false">SUMIFS(Data!$D$2:$D$148,Data!$A$2:$A$148,"2026-09",Data!$B$2:$B$148,"Budget",Data!$C$2:$C$148,"Revenue")</f>
        <v>101124000</v>
      </c>
      <c r="L5" s="16" t="n">
        <f aca="false">SUMIFS(Data!$D$2:$D$148,Data!$A$2:$A$148,"2026-10",Data!$B$2:$B$148,"Budget",Data!$C$2:$C$148,"Revenue")</f>
        <v>107865600</v>
      </c>
      <c r="M5" s="16" t="n">
        <f aca="false">SUMIFS(Data!$D$2:$D$148,Data!$A$2:$A$148,"2026-11",Data!$B$2:$B$148,"Budget",Data!$C$2:$C$148,"Revenue")</f>
        <v>141573600</v>
      </c>
      <c r="N5" s="16" t="n">
        <f aca="false">SUMIFS(Data!$D$2:$D$148,Data!$A$2:$A$148,"2026-12",Data!$B$2:$B$148,"Budget",Data!$C$2:$C$148,"Revenue")</f>
        <v>161798400</v>
      </c>
      <c r="O5" s="16" t="n">
        <f aca="false">SUM(C5:K5)</f>
        <v>937082399</v>
      </c>
      <c r="P5" s="16" t="n">
        <f aca="false">SUM(C6:K6)</f>
        <v>966815477</v>
      </c>
      <c r="Q5" s="16" t="n">
        <f aca="false">P5-O5</f>
        <v>29733078</v>
      </c>
      <c r="R5" s="11" t="n">
        <f aca="false">IF(O5=0,0,Q5/ABS(O5))</f>
        <v>0.0317294167852575</v>
      </c>
      <c r="S5" s="16" t="n">
        <f aca="false">SUM(C5:N5)</f>
        <v>1348319999</v>
      </c>
      <c r="T5" s="17" t="n">
        <f aca="false">P5+SUM(Forecast!B5:D5)</f>
        <v>1402720590</v>
      </c>
      <c r="U5" s="16" t="n">
        <f aca="false">T5-S5</f>
        <v>54400591</v>
      </c>
    </row>
    <row r="6" customFormat="false" ht="15" hidden="false" customHeight="false" outlineLevel="0" collapsed="false">
      <c r="A6" s="5"/>
      <c r="B6" s="5" t="s">
        <v>42</v>
      </c>
      <c r="C6" s="16" t="n">
        <f aca="false">SUMIFS(Data!$D$2:$D$148,Data!$A$2:$A$148,"2026-01",Data!$B$2:$B$148,"Actual",Data!$C$2:$C$148,"Revenue")</f>
        <v>87881939</v>
      </c>
      <c r="D6" s="16" t="n">
        <f aca="false">SUMIFS(Data!$D$2:$D$148,Data!$A$2:$A$148,"2026-02",Data!$B$2:$B$148,"Actual",Data!$C$2:$C$148,"Revenue")</f>
        <v>81457342</v>
      </c>
      <c r="E6" s="16" t="n">
        <f aca="false">SUMIFS(Data!$D$2:$D$148,Data!$A$2:$A$148,"2026-03",Data!$B$2:$B$148,"Actual",Data!$C$2:$C$148,"Revenue")</f>
        <v>98901801</v>
      </c>
      <c r="F6" s="16" t="n">
        <f aca="false">SUMIFS(Data!$D$2:$D$148,Data!$A$2:$A$148,"2026-04",Data!$B$2:$B$148,"Actual",Data!$C$2:$C$148,"Revenue")</f>
        <v>107856468</v>
      </c>
      <c r="G6" s="16" t="n">
        <f aca="false">SUMIFS(Data!$D$2:$D$148,Data!$A$2:$A$148,"2026-05",Data!$B$2:$B$148,"Actual",Data!$C$2:$C$148,"Revenue")</f>
        <v>120266325</v>
      </c>
      <c r="H6" s="16" t="n">
        <f aca="false">SUMIFS(Data!$D$2:$D$148,Data!$A$2:$A$148,"2026-06",Data!$B$2:$B$148,"Actual",Data!$C$2:$C$148,"Revenue")</f>
        <v>126029689</v>
      </c>
      <c r="I6" s="16" t="n">
        <f aca="false">SUMIFS(Data!$D$2:$D$148,Data!$A$2:$A$148,"2026-07",Data!$B$2:$B$148,"Actual",Data!$C$2:$C$148,"Revenue")</f>
        <v>123314199</v>
      </c>
      <c r="J6" s="16" t="n">
        <f aca="false">SUMIFS(Data!$D$2:$D$148,Data!$A$2:$A$148,"2026-08",Data!$B$2:$B$148,"Actual",Data!$C$2:$C$148,"Revenue")</f>
        <v>113220467</v>
      </c>
      <c r="K6" s="16" t="n">
        <f aca="false">SUMIFS(Data!$D$2:$D$148,Data!$A$2:$A$148,"2026-09",Data!$B$2:$B$148,"Actual",Data!$C$2:$C$148,"Revenue")</f>
        <v>107887247</v>
      </c>
      <c r="L6" s="16"/>
      <c r="M6" s="16"/>
      <c r="N6" s="16"/>
      <c r="O6" s="5"/>
      <c r="P6" s="5"/>
      <c r="Q6" s="5"/>
      <c r="R6" s="5"/>
      <c r="S6" s="5"/>
      <c r="T6" s="5"/>
      <c r="U6" s="5"/>
    </row>
    <row r="7" customFormat="false" ht="15" hidden="false" customHeight="false" outlineLevel="0" collapsed="false">
      <c r="A7" s="18"/>
      <c r="B7" s="18" t="s">
        <v>74</v>
      </c>
      <c r="C7" s="19" t="n">
        <f aca="false">IF(C6="","",C6-C5)</f>
        <v>241139</v>
      </c>
      <c r="D7" s="19" t="n">
        <f aca="false">IF(D6="","",D6-D5)</f>
        <v>558142</v>
      </c>
      <c r="E7" s="19" t="n">
        <f aca="false">IF(E6="","",E6-E5)</f>
        <v>1822761</v>
      </c>
      <c r="F7" s="19" t="n">
        <f aca="false">IF(F6="","",F6-F5)</f>
        <v>2687509</v>
      </c>
      <c r="G7" s="19" t="n">
        <f aca="false">IF(G6="","",G6-G5)</f>
        <v>5659125</v>
      </c>
      <c r="H7" s="19" t="n">
        <f aca="false">IF(H6="","",H6-H5)</f>
        <v>4680889</v>
      </c>
      <c r="I7" s="19" t="n">
        <f aca="false">IF(I6="","",I6-I5)</f>
        <v>4662039</v>
      </c>
      <c r="J7" s="19" t="n">
        <f aca="false">IF(J6="","",J6-J5)</f>
        <v>2658227</v>
      </c>
      <c r="K7" s="19" t="n">
        <f aca="false">IF(K6="","",K6-K5)</f>
        <v>6763247</v>
      </c>
      <c r="L7" s="19" t="str">
        <f aca="false">IF(L6="","",L6-L5)</f>
        <v/>
      </c>
      <c r="M7" s="19" t="str">
        <f aca="false">IF(M6="","",M6-M5)</f>
        <v/>
      </c>
      <c r="N7" s="19" t="str">
        <f aca="false">IF(N6="","",N6-N5)</f>
        <v/>
      </c>
      <c r="O7" s="20"/>
      <c r="P7" s="20"/>
      <c r="Q7" s="20"/>
      <c r="R7" s="20"/>
      <c r="S7" s="20"/>
      <c r="T7" s="20"/>
      <c r="U7" s="20"/>
    </row>
    <row r="8" customFormat="false" ht="15" hidden="false" customHeight="false" outlineLevel="0" collapsed="false">
      <c r="A8" s="5" t="s">
        <v>40</v>
      </c>
      <c r="B8" s="5" t="s">
        <v>39</v>
      </c>
      <c r="C8" s="16" t="n">
        <f aca="false">SUMIFS(Data!$D$2:$D$148,Data!$A$2:$A$148,"2026-01",Data!$B$2:$B$148,"Budget",Data!$C$2:$C$148,"Cost of Goods Sold")</f>
        <v>-54337297</v>
      </c>
      <c r="D8" s="16" t="n">
        <f aca="false">SUMIFS(Data!$D$2:$D$148,Data!$A$2:$A$148,"2026-02",Data!$B$2:$B$148,"Budget",Data!$C$2:$C$148,"Cost of Goods Sold")</f>
        <v>-50157504</v>
      </c>
      <c r="E8" s="16" t="n">
        <f aca="false">SUMIFS(Data!$D$2:$D$148,Data!$A$2:$A$148,"2026-03",Data!$B$2:$B$148,"Budget",Data!$C$2:$C$148,"Cost of Goods Sold")</f>
        <v>-60189004</v>
      </c>
      <c r="F8" s="16" t="n">
        <f aca="false">SUMIFS(Data!$D$2:$D$148,Data!$A$2:$A$148,"2026-04",Data!$B$2:$B$148,"Budget",Data!$C$2:$C$148,"Cost of Goods Sold")</f>
        <v>-65204756</v>
      </c>
      <c r="G8" s="16" t="n">
        <f aca="false">SUMIFS(Data!$D$2:$D$148,Data!$A$2:$A$148,"2026-05",Data!$B$2:$B$148,"Budget",Data!$C$2:$C$148,"Cost of Goods Sold")</f>
        <v>-71056463</v>
      </c>
      <c r="H8" s="16" t="n">
        <f aca="false">SUMIFS(Data!$D$2:$D$148,Data!$A$2:$A$148,"2026-06",Data!$B$2:$B$148,"Budget",Data!$C$2:$C$148,"Cost of Goods Sold")</f>
        <v>-75236255</v>
      </c>
      <c r="I8" s="16" t="n">
        <f aca="false">SUMIFS(Data!$D$2:$D$148,Data!$A$2:$A$148,"2026-07",Data!$B$2:$B$148,"Budget",Data!$C$2:$C$148,"Cost of Goods Sold")</f>
        <v>-73564339</v>
      </c>
      <c r="J8" s="16" t="n">
        <f aca="false">SUMIFS(Data!$D$2:$D$148,Data!$A$2:$A$148,"2026-08",Data!$B$2:$B$148,"Budget",Data!$C$2:$C$148,"Cost of Goods Sold")</f>
        <v>-68548589</v>
      </c>
      <c r="K8" s="16" t="n">
        <f aca="false">SUMIFS(Data!$D$2:$D$148,Data!$A$2:$A$148,"2026-09",Data!$B$2:$B$148,"Budget",Data!$C$2:$C$148,"Cost of Goods Sold")</f>
        <v>-62696880</v>
      </c>
      <c r="L8" s="16" t="n">
        <f aca="false">SUMIFS(Data!$D$2:$D$148,Data!$A$2:$A$148,"2026-10",Data!$B$2:$B$148,"Budget",Data!$C$2:$C$148,"Cost of Goods Sold")</f>
        <v>-66876672</v>
      </c>
      <c r="M8" s="16" t="n">
        <f aca="false">SUMIFS(Data!$D$2:$D$148,Data!$A$2:$A$148,"2026-11",Data!$B$2:$B$148,"Budget",Data!$C$2:$C$148,"Cost of Goods Sold")</f>
        <v>-87775631</v>
      </c>
      <c r="N8" s="16" t="n">
        <f aca="false">SUMIFS(Data!$D$2:$D$148,Data!$A$2:$A$148,"2026-12",Data!$B$2:$B$148,"Budget",Data!$C$2:$C$148,"Cost of Goods Sold")</f>
        <v>-100315007</v>
      </c>
      <c r="O8" s="16" t="n">
        <f aca="false">SUM(C8:K8)</f>
        <v>-580991087</v>
      </c>
      <c r="P8" s="16" t="n">
        <f aca="false">SUM(C9:K9)</f>
        <v>-602830011</v>
      </c>
      <c r="Q8" s="16" t="n">
        <f aca="false">P8-O8</f>
        <v>-21838924</v>
      </c>
      <c r="R8" s="11" t="n">
        <f aca="false">IF(O8=0,0,Q8/ABS(O8))</f>
        <v>-0.0375890861127789</v>
      </c>
      <c r="S8" s="16" t="n">
        <f aca="false">SUM(C8:N8)</f>
        <v>-835958397</v>
      </c>
      <c r="T8" s="17" t="n">
        <f aca="false">P8+SUM(Forecast!B6:D6)</f>
        <v>-874412662.282469</v>
      </c>
      <c r="U8" s="16" t="n">
        <f aca="false">T8-S8</f>
        <v>-38454265.2824686</v>
      </c>
    </row>
    <row r="9" customFormat="false" ht="15" hidden="false" customHeight="false" outlineLevel="0" collapsed="false">
      <c r="A9" s="5"/>
      <c r="B9" s="5" t="s">
        <v>42</v>
      </c>
      <c r="C9" s="16" t="n">
        <f aca="false">SUMIFS(Data!$D$2:$D$148,Data!$A$2:$A$148,"2026-01",Data!$B$2:$B$148,"Actual",Data!$C$2:$C$148,"Cost of Goods Sold")</f>
        <v>-54879491</v>
      </c>
      <c r="D9" s="16" t="n">
        <f aca="false">SUMIFS(Data!$D$2:$D$148,Data!$A$2:$A$148,"2026-02",Data!$B$2:$B$148,"Actual",Data!$C$2:$C$148,"Cost of Goods Sold")</f>
        <v>-50845745</v>
      </c>
      <c r="E9" s="16" t="n">
        <f aca="false">SUMIFS(Data!$D$2:$D$148,Data!$A$2:$A$148,"2026-03",Data!$B$2:$B$148,"Actual",Data!$C$2:$C$148,"Cost of Goods Sold")</f>
        <v>-61506987</v>
      </c>
      <c r="F9" s="16" t="n">
        <f aca="false">SUMIFS(Data!$D$2:$D$148,Data!$A$2:$A$148,"2026-04",Data!$B$2:$B$148,"Actual",Data!$C$2:$C$148,"Cost of Goods Sold")</f>
        <v>-67532577</v>
      </c>
      <c r="G9" s="16" t="n">
        <f aca="false">SUMIFS(Data!$D$2:$D$148,Data!$A$2:$A$148,"2026-05",Data!$B$2:$B$148,"Actual",Data!$C$2:$C$148,"Cost of Goods Sold")</f>
        <v>-74895410</v>
      </c>
      <c r="H9" s="16" t="n">
        <f aca="false">SUMIFS(Data!$D$2:$D$148,Data!$A$2:$A$148,"2026-06",Data!$B$2:$B$148,"Actual",Data!$C$2:$C$148,"Cost of Goods Sold")</f>
        <v>-78590907</v>
      </c>
      <c r="I9" s="16" t="n">
        <f aca="false">SUMIFS(Data!$D$2:$D$148,Data!$A$2:$A$148,"2026-07",Data!$B$2:$B$148,"Actual",Data!$C$2:$C$148,"Cost of Goods Sold")</f>
        <v>-76562659</v>
      </c>
      <c r="J9" s="16" t="n">
        <f aca="false">SUMIFS(Data!$D$2:$D$148,Data!$A$2:$A$148,"2026-08",Data!$B$2:$B$148,"Actual",Data!$C$2:$C$148,"Cost of Goods Sold")</f>
        <v>-70688494</v>
      </c>
      <c r="K9" s="16" t="n">
        <f aca="false">SUMIFS(Data!$D$2:$D$148,Data!$A$2:$A$148,"2026-09",Data!$B$2:$B$148,"Actual",Data!$C$2:$C$148,"Cost of Goods Sold")</f>
        <v>-67327741</v>
      </c>
      <c r="L9" s="16"/>
      <c r="M9" s="16"/>
      <c r="N9" s="16"/>
      <c r="O9" s="5"/>
      <c r="P9" s="5"/>
      <c r="Q9" s="5"/>
      <c r="R9" s="5"/>
      <c r="S9" s="5"/>
      <c r="T9" s="5"/>
      <c r="U9" s="5"/>
    </row>
    <row r="10" customFormat="false" ht="15" hidden="false" customHeight="false" outlineLevel="0" collapsed="false">
      <c r="A10" s="18"/>
      <c r="B10" s="18" t="s">
        <v>74</v>
      </c>
      <c r="C10" s="19" t="n">
        <f aca="false">IF(C9="","",C9-C8)</f>
        <v>-542194</v>
      </c>
      <c r="D10" s="19" t="n">
        <f aca="false">IF(D9="","",D9-D8)</f>
        <v>-688241</v>
      </c>
      <c r="E10" s="19" t="n">
        <f aca="false">IF(E9="","",E9-E8)</f>
        <v>-1317983</v>
      </c>
      <c r="F10" s="19" t="n">
        <f aca="false">IF(F9="","",F9-F8)</f>
        <v>-2327821</v>
      </c>
      <c r="G10" s="19" t="n">
        <f aca="false">IF(G9="","",G9-G8)</f>
        <v>-3838947</v>
      </c>
      <c r="H10" s="19" t="n">
        <f aca="false">IF(H9="","",H9-H8)</f>
        <v>-3354652</v>
      </c>
      <c r="I10" s="19" t="n">
        <f aca="false">IF(I9="","",I9-I8)</f>
        <v>-2998320</v>
      </c>
      <c r="J10" s="19" t="n">
        <f aca="false">IF(J9="","",J9-J8)</f>
        <v>-2139905</v>
      </c>
      <c r="K10" s="19" t="n">
        <f aca="false">IF(K9="","",K9-K8)</f>
        <v>-4630861</v>
      </c>
      <c r="L10" s="19" t="str">
        <f aca="false">IF(L9="","",L9-L8)</f>
        <v/>
      </c>
      <c r="M10" s="19" t="str">
        <f aca="false">IF(M9="","",M9-M8)</f>
        <v/>
      </c>
      <c r="N10" s="19" t="str">
        <f aca="false">IF(N9="","",N9-N8)</f>
        <v/>
      </c>
      <c r="O10" s="20"/>
      <c r="P10" s="20"/>
      <c r="Q10" s="20"/>
      <c r="R10" s="20"/>
      <c r="S10" s="20"/>
      <c r="T10" s="20"/>
      <c r="U10" s="20"/>
    </row>
    <row r="11" customFormat="false" ht="15" hidden="false" customHeight="false" outlineLevel="0" collapsed="false">
      <c r="A11" s="21" t="s">
        <v>75</v>
      </c>
      <c r="B11" s="21" t="s">
        <v>39</v>
      </c>
      <c r="C11" s="22" t="n">
        <f aca="false">C5+C8</f>
        <v>33303503</v>
      </c>
      <c r="D11" s="22" t="n">
        <f aca="false">D5+D8</f>
        <v>30741696</v>
      </c>
      <c r="E11" s="22" t="n">
        <f aca="false">E5+E8</f>
        <v>36890036</v>
      </c>
      <c r="F11" s="22" t="n">
        <f aca="false">F5+F8</f>
        <v>39964203</v>
      </c>
      <c r="G11" s="22" t="n">
        <f aca="false">G5+G8</f>
        <v>43550737</v>
      </c>
      <c r="H11" s="22" t="n">
        <f aca="false">H5+H8</f>
        <v>46112545</v>
      </c>
      <c r="I11" s="22" t="n">
        <f aca="false">I5+I8</f>
        <v>45087821</v>
      </c>
      <c r="J11" s="22" t="n">
        <f aca="false">J5+J8</f>
        <v>42013651</v>
      </c>
      <c r="K11" s="22" t="n">
        <f aca="false">K5+K8</f>
        <v>38427120</v>
      </c>
      <c r="L11" s="22" t="n">
        <f aca="false">L5+L8</f>
        <v>40988928</v>
      </c>
      <c r="M11" s="22" t="n">
        <f aca="false">M5+M8</f>
        <v>53797969</v>
      </c>
      <c r="N11" s="22" t="n">
        <f aca="false">N5+N8</f>
        <v>61483393</v>
      </c>
      <c r="O11" s="22" t="n">
        <f aca="false">SUM(C11:K11)</f>
        <v>356091312</v>
      </c>
      <c r="P11" s="22" t="n">
        <f aca="false">SUM(C12:K12)</f>
        <v>363985466</v>
      </c>
      <c r="Q11" s="22" t="n">
        <f aca="false">P11-O11</f>
        <v>7894154</v>
      </c>
      <c r="R11" s="23" t="n">
        <f aca="false">IF(O11=0,0,Q11/ABS(O11))</f>
        <v>0.0221689036883888</v>
      </c>
      <c r="S11" s="22" t="n">
        <f aca="false">SUM(C11:N11)</f>
        <v>512361602</v>
      </c>
      <c r="T11" s="22" t="n">
        <f aca="false">P11+SUM(Forecast!B7:D7)</f>
        <v>528307927.717532</v>
      </c>
      <c r="U11" s="22" t="n">
        <f aca="false">T11-S11</f>
        <v>15946325.7175315</v>
      </c>
    </row>
    <row r="12" customFormat="false" ht="15" hidden="false" customHeight="false" outlineLevel="0" collapsed="false">
      <c r="A12" s="21"/>
      <c r="B12" s="21" t="s">
        <v>42</v>
      </c>
      <c r="C12" s="22" t="n">
        <f aca="false">C6+C9</f>
        <v>33002448</v>
      </c>
      <c r="D12" s="22" t="n">
        <f aca="false">D6+D9</f>
        <v>30611597</v>
      </c>
      <c r="E12" s="22" t="n">
        <f aca="false">E6+E9</f>
        <v>37394814</v>
      </c>
      <c r="F12" s="22" t="n">
        <f aca="false">F6+F9</f>
        <v>40323891</v>
      </c>
      <c r="G12" s="22" t="n">
        <f aca="false">G6+G9</f>
        <v>45370915</v>
      </c>
      <c r="H12" s="22" t="n">
        <f aca="false">H6+H9</f>
        <v>47438782</v>
      </c>
      <c r="I12" s="22" t="n">
        <f aca="false">I6+I9</f>
        <v>46751540</v>
      </c>
      <c r="J12" s="22" t="n">
        <f aca="false">J6+J9</f>
        <v>42531973</v>
      </c>
      <c r="K12" s="22" t="n">
        <f aca="false">K6+K9</f>
        <v>40559506</v>
      </c>
      <c r="L12" s="22"/>
      <c r="M12" s="22"/>
      <c r="N12" s="22"/>
      <c r="O12" s="21"/>
      <c r="P12" s="21"/>
      <c r="Q12" s="21"/>
      <c r="R12" s="21"/>
      <c r="S12" s="21"/>
      <c r="T12" s="21"/>
      <c r="U12" s="21"/>
    </row>
    <row r="13" customFormat="false" ht="15" hidden="false" customHeight="false" outlineLevel="0" collapsed="false">
      <c r="A13" s="24"/>
      <c r="B13" s="24" t="s">
        <v>74</v>
      </c>
      <c r="C13" s="25" t="n">
        <f aca="false">IF(C12="","",C12-C11)</f>
        <v>-301055</v>
      </c>
      <c r="D13" s="25" t="n">
        <f aca="false">IF(D12="","",D12-D11)</f>
        <v>-130099</v>
      </c>
      <c r="E13" s="25" t="n">
        <f aca="false">IF(E12="","",E12-E11)</f>
        <v>504778</v>
      </c>
      <c r="F13" s="25" t="n">
        <f aca="false">IF(F12="","",F12-F11)</f>
        <v>359688</v>
      </c>
      <c r="G13" s="25" t="n">
        <f aca="false">IF(G12="","",G12-G11)</f>
        <v>1820178</v>
      </c>
      <c r="H13" s="25" t="n">
        <f aca="false">IF(H12="","",H12-H11)</f>
        <v>1326237</v>
      </c>
      <c r="I13" s="25" t="n">
        <f aca="false">IF(I12="","",I12-I11)</f>
        <v>1663719</v>
      </c>
      <c r="J13" s="25" t="n">
        <f aca="false">IF(J12="","",J12-J11)</f>
        <v>518322</v>
      </c>
      <c r="K13" s="25" t="n">
        <f aca="false">IF(K12="","",K12-K11)</f>
        <v>2132386</v>
      </c>
      <c r="L13" s="25" t="str">
        <f aca="false">IF(L12="","",L12-L11)</f>
        <v/>
      </c>
      <c r="M13" s="25" t="str">
        <f aca="false">IF(M12="","",M12-M11)</f>
        <v/>
      </c>
      <c r="N13" s="25" t="str">
        <f aca="false">IF(N12="","",N12-N11)</f>
        <v/>
      </c>
      <c r="O13" s="24"/>
      <c r="P13" s="24"/>
      <c r="Q13" s="24"/>
      <c r="R13" s="24"/>
      <c r="S13" s="24"/>
      <c r="T13" s="24"/>
      <c r="U13" s="24"/>
    </row>
    <row r="14" customFormat="false" ht="15" hidden="false" customHeight="false" outlineLevel="0" collapsed="false">
      <c r="A14" s="5" t="s">
        <v>27</v>
      </c>
      <c r="B14" s="5" t="s">
        <v>39</v>
      </c>
      <c r="C14" s="16" t="n">
        <f aca="false">SUMIFS(Data!$D$2:$D$148,Data!$A$2:$A$148,"2026-01",Data!$B$2:$B$148,"Budget",Data!$C$2:$C$148,"Store Operations")</f>
        <v>-14346125</v>
      </c>
      <c r="D14" s="16" t="n">
        <f aca="false">SUMIFS(Data!$D$2:$D$148,Data!$A$2:$A$148,"2026-02",Data!$B$2:$B$148,"Budget",Data!$C$2:$C$148,"Store Operations")</f>
        <v>-13968595</v>
      </c>
      <c r="E14" s="16" t="n">
        <f aca="false">SUMIFS(Data!$D$2:$D$148,Data!$A$2:$A$148,"2026-03",Data!$B$2:$B$148,"Budget",Data!$C$2:$C$148,"Store Operations")</f>
        <v>-14874666</v>
      </c>
      <c r="F14" s="16" t="n">
        <f aca="false">SUMIFS(Data!$D$2:$D$148,Data!$A$2:$A$148,"2026-04",Data!$B$2:$B$148,"Budget",Data!$C$2:$C$148,"Store Operations")</f>
        <v>-15327702</v>
      </c>
      <c r="G14" s="16" t="n">
        <f aca="false">SUMIFS(Data!$D$2:$D$148,Data!$A$2:$A$148,"2026-05",Data!$B$2:$B$148,"Budget",Data!$C$2:$C$148,"Store Operations")</f>
        <v>-15856243</v>
      </c>
      <c r="H14" s="16" t="n">
        <f aca="false">SUMIFS(Data!$D$2:$D$148,Data!$A$2:$A$148,"2026-06",Data!$B$2:$B$148,"Budget",Data!$C$2:$C$148,"Store Operations")</f>
        <v>-16233773</v>
      </c>
      <c r="I14" s="16" t="n">
        <f aca="false">SUMIFS(Data!$D$2:$D$148,Data!$A$2:$A$148,"2026-07",Data!$B$2:$B$148,"Budget",Data!$C$2:$C$148,"Store Operations")</f>
        <v>-16082761</v>
      </c>
      <c r="J14" s="16" t="n">
        <f aca="false">SUMIFS(Data!$D$2:$D$148,Data!$A$2:$A$148,"2026-08",Data!$B$2:$B$148,"Budget",Data!$C$2:$C$148,"Store Operations")</f>
        <v>-15629725</v>
      </c>
      <c r="K14" s="16" t="n">
        <f aca="false">SUMIFS(Data!$D$2:$D$148,Data!$A$2:$A$148,"2026-09",Data!$B$2:$B$148,"Budget",Data!$C$2:$C$148,"Store Operations")</f>
        <v>-15101184</v>
      </c>
      <c r="L14" s="16" t="n">
        <f aca="false">SUMIFS(Data!$D$2:$D$148,Data!$A$2:$A$148,"2026-10",Data!$B$2:$B$148,"Budget",Data!$C$2:$C$148,"Store Operations")</f>
        <v>-15478714</v>
      </c>
      <c r="M14" s="16" t="n">
        <f aca="false">SUMIFS(Data!$D$2:$D$148,Data!$A$2:$A$148,"2026-11",Data!$B$2:$B$148,"Budget",Data!$C$2:$C$148,"Store Operations")</f>
        <v>-17366362</v>
      </c>
      <c r="N14" s="16" t="n">
        <f aca="false">SUMIFS(Data!$D$2:$D$148,Data!$A$2:$A$148,"2026-12",Data!$B$2:$B$148,"Budget",Data!$C$2:$C$148,"Store Operations")</f>
        <v>-18498950</v>
      </c>
      <c r="O14" s="16" t="n">
        <f aca="false">SUM(C14:K14)</f>
        <v>-137420774</v>
      </c>
      <c r="P14" s="16" t="n">
        <f aca="false">SUM(C15:K15)</f>
        <v>-138297842</v>
      </c>
      <c r="Q14" s="16" t="n">
        <f aca="false">P14-O14</f>
        <v>-877068</v>
      </c>
      <c r="R14" s="11" t="n">
        <f aca="false">IF(O14=0,0,Q14/ABS(O14))</f>
        <v>-0.00638235380627386</v>
      </c>
      <c r="S14" s="16" t="n">
        <f aca="false">SUM(C14:N14)</f>
        <v>-188764800</v>
      </c>
      <c r="T14" s="17" t="n">
        <f aca="false">P14+SUM(Forecast!B8:D8)</f>
        <v>-189984266.59525</v>
      </c>
      <c r="U14" s="16" t="n">
        <f aca="false">T14-S14</f>
        <v>-1219466.59524992</v>
      </c>
    </row>
    <row r="15" customFormat="false" ht="15" hidden="false" customHeight="false" outlineLevel="0" collapsed="false">
      <c r="A15" s="5"/>
      <c r="B15" s="5" t="s">
        <v>42</v>
      </c>
      <c r="C15" s="16" t="n">
        <f aca="false">SUMIFS(Data!$D$2:$D$148,Data!$A$2:$A$148,"2026-01",Data!$B$2:$B$148,"Actual",Data!$C$2:$C$148,"Store Operations")</f>
        <v>-14406840</v>
      </c>
      <c r="D15" s="16" t="n">
        <f aca="false">SUMIFS(Data!$D$2:$D$148,Data!$A$2:$A$148,"2026-02",Data!$B$2:$B$148,"Actual",Data!$C$2:$C$148,"Store Operations")</f>
        <v>-13690807</v>
      </c>
      <c r="E15" s="16" t="n">
        <f aca="false">SUMIFS(Data!$D$2:$D$148,Data!$A$2:$A$148,"2026-03",Data!$B$2:$B$148,"Actual",Data!$C$2:$C$148,"Store Operations")</f>
        <v>-15339932</v>
      </c>
      <c r="F15" s="16" t="n">
        <f aca="false">SUMIFS(Data!$D$2:$D$148,Data!$A$2:$A$148,"2026-04",Data!$B$2:$B$148,"Actual",Data!$C$2:$C$148,"Store Operations")</f>
        <v>-15372226</v>
      </c>
      <c r="G15" s="16" t="n">
        <f aca="false">SUMIFS(Data!$D$2:$D$148,Data!$A$2:$A$148,"2026-05",Data!$B$2:$B$148,"Actual",Data!$C$2:$C$148,"Store Operations")</f>
        <v>-16004074</v>
      </c>
      <c r="H15" s="16" t="n">
        <f aca="false">SUMIFS(Data!$D$2:$D$148,Data!$A$2:$A$148,"2026-06",Data!$B$2:$B$148,"Actual",Data!$C$2:$C$148,"Store Operations")</f>
        <v>-16061457</v>
      </c>
      <c r="I15" s="16" t="n">
        <f aca="false">SUMIFS(Data!$D$2:$D$148,Data!$A$2:$A$148,"2026-07",Data!$B$2:$B$148,"Actual",Data!$C$2:$C$148,"Store Operations")</f>
        <v>-16470566</v>
      </c>
      <c r="J15" s="16" t="n">
        <f aca="false">SUMIFS(Data!$D$2:$D$148,Data!$A$2:$A$148,"2026-08",Data!$B$2:$B$148,"Actual",Data!$C$2:$C$148,"Store Operations")</f>
        <v>-15614071</v>
      </c>
      <c r="K15" s="16" t="n">
        <f aca="false">SUMIFS(Data!$D$2:$D$148,Data!$A$2:$A$148,"2026-09",Data!$B$2:$B$148,"Actual",Data!$C$2:$C$148,"Store Operations")</f>
        <v>-15337869</v>
      </c>
      <c r="L15" s="16"/>
      <c r="M15" s="16"/>
      <c r="N15" s="16"/>
      <c r="O15" s="5"/>
      <c r="P15" s="5"/>
      <c r="Q15" s="5"/>
      <c r="R15" s="5"/>
      <c r="S15" s="5"/>
      <c r="T15" s="5"/>
      <c r="U15" s="5"/>
    </row>
    <row r="16" customFormat="false" ht="15" hidden="false" customHeight="false" outlineLevel="0" collapsed="false">
      <c r="A16" s="18"/>
      <c r="B16" s="18" t="s">
        <v>74</v>
      </c>
      <c r="C16" s="19" t="n">
        <f aca="false">IF(C15="","",C15-C14)</f>
        <v>-60715</v>
      </c>
      <c r="D16" s="19" t="n">
        <f aca="false">IF(D15="","",D15-D14)</f>
        <v>277788</v>
      </c>
      <c r="E16" s="19" t="n">
        <f aca="false">IF(E15="","",E15-E14)</f>
        <v>-465266</v>
      </c>
      <c r="F16" s="19" t="n">
        <f aca="false">IF(F15="","",F15-F14)</f>
        <v>-44524</v>
      </c>
      <c r="G16" s="19" t="n">
        <f aca="false">IF(G15="","",G15-G14)</f>
        <v>-147831</v>
      </c>
      <c r="H16" s="19" t="n">
        <f aca="false">IF(H15="","",H15-H14)</f>
        <v>172316</v>
      </c>
      <c r="I16" s="19" t="n">
        <f aca="false">IF(I15="","",I15-I14)</f>
        <v>-387805</v>
      </c>
      <c r="J16" s="19" t="n">
        <f aca="false">IF(J15="","",J15-J14)</f>
        <v>15654</v>
      </c>
      <c r="K16" s="19" t="n">
        <f aca="false">IF(K15="","",K15-K14)</f>
        <v>-236685</v>
      </c>
      <c r="L16" s="19" t="str">
        <f aca="false">IF(L15="","",L15-L14)</f>
        <v/>
      </c>
      <c r="M16" s="19" t="str">
        <f aca="false">IF(M15="","",M15-M14)</f>
        <v/>
      </c>
      <c r="N16" s="19" t="str">
        <f aca="false">IF(N15="","",N15-N14)</f>
        <v/>
      </c>
      <c r="O16" s="20"/>
      <c r="P16" s="20"/>
      <c r="Q16" s="20"/>
      <c r="R16" s="20"/>
      <c r="S16" s="20"/>
      <c r="T16" s="20"/>
      <c r="U16" s="20"/>
    </row>
    <row r="17" customFormat="false" ht="15" hidden="false" customHeight="false" outlineLevel="0" collapsed="false">
      <c r="A17" s="5" t="s">
        <v>28</v>
      </c>
      <c r="B17" s="5" t="s">
        <v>39</v>
      </c>
      <c r="C17" s="16" t="n">
        <f aca="false">SUMIFS(Data!$D$2:$D$148,Data!$A$2:$A$148,"2026-01",Data!$B$2:$B$148,"Budget",Data!$C$2:$C$148,"Marketing")</f>
        <v>-4166309</v>
      </c>
      <c r="D17" s="16" t="n">
        <f aca="false">SUMIFS(Data!$D$2:$D$148,Data!$A$2:$A$148,"2026-02",Data!$B$2:$B$148,"Budget",Data!$C$2:$C$148,"Marketing")</f>
        <v>-3923611</v>
      </c>
      <c r="E17" s="16" t="n">
        <f aca="false">SUMIFS(Data!$D$2:$D$148,Data!$A$2:$A$148,"2026-03",Data!$B$2:$B$148,"Budget",Data!$C$2:$C$148,"Marketing")</f>
        <v>-4506085</v>
      </c>
      <c r="F17" s="16" t="n">
        <f aca="false">SUMIFS(Data!$D$2:$D$148,Data!$A$2:$A$148,"2026-04",Data!$B$2:$B$148,"Budget",Data!$C$2:$C$148,"Marketing")</f>
        <v>-4797323</v>
      </c>
      <c r="G17" s="16" t="n">
        <f aca="false">SUMIFS(Data!$D$2:$D$148,Data!$A$2:$A$148,"2026-05",Data!$B$2:$B$148,"Budget",Data!$C$2:$C$148,"Marketing")</f>
        <v>-5137099</v>
      </c>
      <c r="H17" s="16" t="n">
        <f aca="false">SUMIFS(Data!$D$2:$D$148,Data!$A$2:$A$148,"2026-06",Data!$B$2:$B$148,"Budget",Data!$C$2:$C$148,"Marketing")</f>
        <v>-5379797</v>
      </c>
      <c r="I17" s="16" t="n">
        <f aca="false">SUMIFS(Data!$D$2:$D$148,Data!$A$2:$A$148,"2026-07",Data!$B$2:$B$148,"Budget",Data!$C$2:$C$148,"Marketing")</f>
        <v>-5282718</v>
      </c>
      <c r="J17" s="16" t="n">
        <f aca="false">SUMIFS(Data!$D$2:$D$148,Data!$A$2:$A$148,"2026-08",Data!$B$2:$B$148,"Budget",Data!$C$2:$C$148,"Marketing")</f>
        <v>-4991481</v>
      </c>
      <c r="K17" s="16" t="n">
        <f aca="false">SUMIFS(Data!$D$2:$D$148,Data!$A$2:$A$148,"2026-09",Data!$B$2:$B$148,"Budget",Data!$C$2:$C$148,"Marketing")</f>
        <v>-4651704</v>
      </c>
      <c r="L17" s="16" t="n">
        <f aca="false">SUMIFS(Data!$D$2:$D$148,Data!$A$2:$A$148,"2026-10",Data!$B$2:$B$148,"Budget",Data!$C$2:$C$148,"Marketing")</f>
        <v>-4894402</v>
      </c>
      <c r="M17" s="16" t="n">
        <f aca="false">SUMIFS(Data!$D$2:$D$148,Data!$A$2:$A$148,"2026-11",Data!$B$2:$B$148,"Budget",Data!$C$2:$C$148,"Marketing")</f>
        <v>-6107890</v>
      </c>
      <c r="N17" s="16" t="n">
        <f aca="false">SUMIFS(Data!$D$2:$D$148,Data!$A$2:$A$148,"2026-12",Data!$B$2:$B$148,"Budget",Data!$C$2:$C$148,"Marketing")</f>
        <v>-6835982</v>
      </c>
      <c r="O17" s="16" t="n">
        <f aca="false">SUM(C17:K17)</f>
        <v>-42836127</v>
      </c>
      <c r="P17" s="16" t="n">
        <f aca="false">SUM(C18:K18)</f>
        <v>-43597347</v>
      </c>
      <c r="Q17" s="16" t="n">
        <f aca="false">P17-O17</f>
        <v>-761220</v>
      </c>
      <c r="R17" s="11" t="n">
        <f aca="false">IF(O17=0,0,Q17/ABS(O17))</f>
        <v>-0.0177705141270125</v>
      </c>
      <c r="S17" s="16" t="n">
        <f aca="false">SUM(C17:N17)</f>
        <v>-60674401</v>
      </c>
      <c r="T17" s="17" t="n">
        <f aca="false">P17+SUM(Forecast!B9:D9)</f>
        <v>-62126618.6739231</v>
      </c>
      <c r="U17" s="16" t="n">
        <f aca="false">T17-S17</f>
        <v>-1452217.67392312</v>
      </c>
    </row>
    <row r="18" customFormat="false" ht="15" hidden="false" customHeight="false" outlineLevel="0" collapsed="false">
      <c r="A18" s="5"/>
      <c r="B18" s="5" t="s">
        <v>42</v>
      </c>
      <c r="C18" s="16" t="n">
        <f aca="false">SUMIFS(Data!$D$2:$D$148,Data!$A$2:$A$148,"2026-01",Data!$B$2:$B$148,"Actual",Data!$C$2:$C$148,"Marketing")</f>
        <v>-4142386</v>
      </c>
      <c r="D18" s="16" t="n">
        <f aca="false">SUMIFS(Data!$D$2:$D$148,Data!$A$2:$A$148,"2026-02",Data!$B$2:$B$148,"Actual",Data!$C$2:$C$148,"Marketing")</f>
        <v>-3990024</v>
      </c>
      <c r="E18" s="16" t="n">
        <f aca="false">SUMIFS(Data!$D$2:$D$148,Data!$A$2:$A$148,"2026-03",Data!$B$2:$B$148,"Actual",Data!$C$2:$C$148,"Marketing")</f>
        <v>-4542099</v>
      </c>
      <c r="F18" s="16" t="n">
        <f aca="false">SUMIFS(Data!$D$2:$D$148,Data!$A$2:$A$148,"2026-04",Data!$B$2:$B$148,"Actual",Data!$C$2:$C$148,"Marketing")</f>
        <v>-4886087</v>
      </c>
      <c r="G18" s="16" t="n">
        <f aca="false">SUMIFS(Data!$D$2:$D$148,Data!$A$2:$A$148,"2026-05",Data!$B$2:$B$148,"Actual",Data!$C$2:$C$148,"Marketing")</f>
        <v>-5066871</v>
      </c>
      <c r="H18" s="16" t="n">
        <f aca="false">SUMIFS(Data!$D$2:$D$148,Data!$A$2:$A$148,"2026-06",Data!$B$2:$B$148,"Actual",Data!$C$2:$C$148,"Marketing")</f>
        <v>-5641055</v>
      </c>
      <c r="I18" s="16" t="n">
        <f aca="false">SUMIFS(Data!$D$2:$D$148,Data!$A$2:$A$148,"2026-07",Data!$B$2:$B$148,"Actual",Data!$C$2:$C$148,"Marketing")</f>
        <v>-5432354</v>
      </c>
      <c r="J18" s="16" t="n">
        <f aca="false">SUMIFS(Data!$D$2:$D$148,Data!$A$2:$A$148,"2026-08",Data!$B$2:$B$148,"Actual",Data!$C$2:$C$148,"Marketing")</f>
        <v>-5042877</v>
      </c>
      <c r="K18" s="16" t="n">
        <f aca="false">SUMIFS(Data!$D$2:$D$148,Data!$A$2:$A$148,"2026-09",Data!$B$2:$B$148,"Actual",Data!$C$2:$C$148,"Marketing")</f>
        <v>-4853594</v>
      </c>
      <c r="L18" s="16"/>
      <c r="M18" s="16"/>
      <c r="N18" s="16"/>
      <c r="O18" s="5"/>
      <c r="P18" s="5"/>
      <c r="Q18" s="5"/>
      <c r="R18" s="5"/>
      <c r="S18" s="5"/>
      <c r="T18" s="5"/>
      <c r="U18" s="5"/>
    </row>
    <row r="19" customFormat="false" ht="15" hidden="false" customHeight="false" outlineLevel="0" collapsed="false">
      <c r="A19" s="18"/>
      <c r="B19" s="18" t="s">
        <v>74</v>
      </c>
      <c r="C19" s="19" t="n">
        <f aca="false">IF(C18="","",C18-C17)</f>
        <v>23923</v>
      </c>
      <c r="D19" s="19" t="n">
        <f aca="false">IF(D18="","",D18-D17)</f>
        <v>-66413</v>
      </c>
      <c r="E19" s="19" t="n">
        <f aca="false">IF(E18="","",E18-E17)</f>
        <v>-36014</v>
      </c>
      <c r="F19" s="19" t="n">
        <f aca="false">IF(F18="","",F18-F17)</f>
        <v>-88764</v>
      </c>
      <c r="G19" s="19" t="n">
        <f aca="false">IF(G18="","",G18-G17)</f>
        <v>70228</v>
      </c>
      <c r="H19" s="19" t="n">
        <f aca="false">IF(H18="","",H18-H17)</f>
        <v>-261258</v>
      </c>
      <c r="I19" s="19" t="n">
        <f aca="false">IF(I18="","",I18-I17)</f>
        <v>-149636</v>
      </c>
      <c r="J19" s="19" t="n">
        <f aca="false">IF(J18="","",J18-J17)</f>
        <v>-51396</v>
      </c>
      <c r="K19" s="19" t="n">
        <f aca="false">IF(K18="","",K18-K17)</f>
        <v>-201890</v>
      </c>
      <c r="L19" s="19" t="str">
        <f aca="false">IF(L18="","",L18-L17)</f>
        <v/>
      </c>
      <c r="M19" s="19" t="str">
        <f aca="false">IF(M18="","",M18-M17)</f>
        <v/>
      </c>
      <c r="N19" s="19" t="str">
        <f aca="false">IF(N18="","",N18-N17)</f>
        <v/>
      </c>
      <c r="O19" s="20"/>
      <c r="P19" s="20"/>
      <c r="Q19" s="20"/>
      <c r="R19" s="20"/>
      <c r="S19" s="20"/>
      <c r="T19" s="20"/>
      <c r="U19" s="20"/>
    </row>
    <row r="20" customFormat="false" ht="15" hidden="false" customHeight="false" outlineLevel="0" collapsed="false">
      <c r="A20" s="5" t="s">
        <v>29</v>
      </c>
      <c r="B20" s="5" t="s">
        <v>39</v>
      </c>
      <c r="C20" s="16" t="n">
        <f aca="false">SUMIFS(Data!$D$2:$D$148,Data!$A$2:$A$148,"2026-01",Data!$B$2:$B$148,"Budget",Data!$C$2:$C$148,"Supply Chain &amp; Logistics")</f>
        <v>-4752828</v>
      </c>
      <c r="D20" s="16" t="n">
        <f aca="false">SUMIFS(Data!$D$2:$D$148,Data!$A$2:$A$148,"2026-02",Data!$B$2:$B$148,"Budget",Data!$C$2:$C$148,"Supply Chain &amp; Logistics")</f>
        <v>-4516872</v>
      </c>
      <c r="E20" s="16" t="n">
        <f aca="false">SUMIFS(Data!$D$2:$D$148,Data!$A$2:$A$148,"2026-03",Data!$B$2:$B$148,"Budget",Data!$C$2:$C$148,"Supply Chain &amp; Logistics")</f>
        <v>-5083166</v>
      </c>
      <c r="F20" s="16" t="n">
        <f aca="false">SUMIFS(Data!$D$2:$D$148,Data!$A$2:$A$148,"2026-04",Data!$B$2:$B$148,"Budget",Data!$C$2:$C$148,"Supply Chain &amp; Logistics")</f>
        <v>-5366314</v>
      </c>
      <c r="G20" s="16" t="n">
        <f aca="false">SUMIFS(Data!$D$2:$D$148,Data!$A$2:$A$148,"2026-05",Data!$B$2:$B$148,"Budget",Data!$C$2:$C$148,"Supply Chain &amp; Logistics")</f>
        <v>-5696652</v>
      </c>
      <c r="H20" s="16" t="n">
        <f aca="false">SUMIFS(Data!$D$2:$D$148,Data!$A$2:$A$148,"2026-06",Data!$B$2:$B$148,"Budget",Data!$C$2:$C$148,"Supply Chain &amp; Logistics")</f>
        <v>-5932608</v>
      </c>
      <c r="I20" s="16" t="n">
        <f aca="false">SUMIFS(Data!$D$2:$D$148,Data!$A$2:$A$148,"2026-07",Data!$B$2:$B$148,"Budget",Data!$C$2:$C$148,"Supply Chain &amp; Logistics")</f>
        <v>-5838226</v>
      </c>
      <c r="J20" s="16" t="n">
        <f aca="false">SUMIFS(Data!$D$2:$D$148,Data!$A$2:$A$148,"2026-08",Data!$B$2:$B$148,"Budget",Data!$C$2:$C$148,"Supply Chain &amp; Logistics")</f>
        <v>-5555078</v>
      </c>
      <c r="K20" s="16" t="n">
        <f aca="false">SUMIFS(Data!$D$2:$D$148,Data!$A$2:$A$148,"2026-09",Data!$B$2:$B$148,"Budget",Data!$C$2:$C$148,"Supply Chain &amp; Logistics")</f>
        <v>-5224740</v>
      </c>
      <c r="L20" s="16" t="n">
        <f aca="false">SUMIFS(Data!$D$2:$D$148,Data!$A$2:$A$148,"2026-10",Data!$B$2:$B$148,"Budget",Data!$C$2:$C$148,"Supply Chain &amp; Logistics")</f>
        <v>-5460696</v>
      </c>
      <c r="M20" s="16" t="n">
        <f aca="false">SUMIFS(Data!$D$2:$D$148,Data!$A$2:$A$148,"2026-11",Data!$B$2:$B$148,"Budget",Data!$C$2:$C$148,"Supply Chain &amp; Logistics")</f>
        <v>-6640476</v>
      </c>
      <c r="N20" s="16" t="n">
        <f aca="false">SUMIFS(Data!$D$2:$D$148,Data!$A$2:$A$148,"2026-12",Data!$B$2:$B$148,"Budget",Data!$C$2:$C$148,"Supply Chain &amp; Logistics")</f>
        <v>-7348344</v>
      </c>
      <c r="O20" s="16" t="n">
        <f aca="false">SUM(C20:K20)</f>
        <v>-47966484</v>
      </c>
      <c r="P20" s="16" t="n">
        <f aca="false">SUM(C21:K21)</f>
        <v>-49064988</v>
      </c>
      <c r="Q20" s="16" t="n">
        <f aca="false">P20-O20</f>
        <v>-1098504</v>
      </c>
      <c r="R20" s="11" t="n">
        <f aca="false">IF(O20=0,0,Q20/ABS(O20))</f>
        <v>-0.0229014909660671</v>
      </c>
      <c r="S20" s="16" t="n">
        <f aca="false">SUM(C20:N20)</f>
        <v>-67416000</v>
      </c>
      <c r="T20" s="17" t="n">
        <f aca="false">P20+SUM(Forecast!B10:D10)</f>
        <v>-69057582.6925019</v>
      </c>
      <c r="U20" s="16" t="n">
        <f aca="false">T20-S20</f>
        <v>-1641582.69250193</v>
      </c>
    </row>
    <row r="21" customFormat="false" ht="15" hidden="false" customHeight="false" outlineLevel="0" collapsed="false">
      <c r="A21" s="5"/>
      <c r="B21" s="5" t="s">
        <v>42</v>
      </c>
      <c r="C21" s="16" t="n">
        <f aca="false">SUMIFS(Data!$D$2:$D$148,Data!$A$2:$A$148,"2026-01",Data!$B$2:$B$148,"Actual",Data!$C$2:$C$148,"Supply Chain &amp; Logistics")</f>
        <v>-4937228</v>
      </c>
      <c r="D21" s="16" t="n">
        <f aca="false">SUMIFS(Data!$D$2:$D$148,Data!$A$2:$A$148,"2026-02",Data!$B$2:$B$148,"Actual",Data!$C$2:$C$148,"Supply Chain &amp; Logistics")</f>
        <v>-4565386</v>
      </c>
      <c r="E21" s="16" t="n">
        <f aca="false">SUMIFS(Data!$D$2:$D$148,Data!$A$2:$A$148,"2026-03",Data!$B$2:$B$148,"Actual",Data!$C$2:$C$148,"Supply Chain &amp; Logistics")</f>
        <v>-4972794</v>
      </c>
      <c r="F21" s="16" t="n">
        <f aca="false">SUMIFS(Data!$D$2:$D$148,Data!$A$2:$A$148,"2026-04",Data!$B$2:$B$148,"Actual",Data!$C$2:$C$148,"Supply Chain &amp; Logistics")</f>
        <v>-5274106</v>
      </c>
      <c r="G21" s="16" t="n">
        <f aca="false">SUMIFS(Data!$D$2:$D$148,Data!$A$2:$A$148,"2026-05",Data!$B$2:$B$148,"Actual",Data!$C$2:$C$148,"Supply Chain &amp; Logistics")</f>
        <v>-5987250</v>
      </c>
      <c r="H21" s="16" t="n">
        <f aca="false">SUMIFS(Data!$D$2:$D$148,Data!$A$2:$A$148,"2026-06",Data!$B$2:$B$148,"Actual",Data!$C$2:$C$148,"Supply Chain &amp; Logistics")</f>
        <v>-6139035</v>
      </c>
      <c r="I21" s="16" t="n">
        <f aca="false">SUMIFS(Data!$D$2:$D$148,Data!$A$2:$A$148,"2026-07",Data!$B$2:$B$148,"Actual",Data!$C$2:$C$148,"Supply Chain &amp; Logistics")</f>
        <v>-6099433</v>
      </c>
      <c r="J21" s="16" t="n">
        <f aca="false">SUMIFS(Data!$D$2:$D$148,Data!$A$2:$A$148,"2026-08",Data!$B$2:$B$148,"Actual",Data!$C$2:$C$148,"Supply Chain &amp; Logistics")</f>
        <v>-5593996</v>
      </c>
      <c r="K21" s="16" t="n">
        <f aca="false">SUMIFS(Data!$D$2:$D$148,Data!$A$2:$A$148,"2026-09",Data!$B$2:$B$148,"Actual",Data!$C$2:$C$148,"Supply Chain &amp; Logistics")</f>
        <v>-5495760</v>
      </c>
      <c r="L21" s="16"/>
      <c r="M21" s="16"/>
      <c r="N21" s="16"/>
      <c r="O21" s="5"/>
      <c r="P21" s="5"/>
      <c r="Q21" s="5"/>
      <c r="R21" s="5"/>
      <c r="S21" s="5"/>
      <c r="T21" s="5"/>
      <c r="U21" s="5"/>
    </row>
    <row r="22" customFormat="false" ht="15" hidden="false" customHeight="false" outlineLevel="0" collapsed="false">
      <c r="A22" s="18"/>
      <c r="B22" s="18" t="s">
        <v>74</v>
      </c>
      <c r="C22" s="19" t="n">
        <f aca="false">IF(C21="","",C21-C20)</f>
        <v>-184400</v>
      </c>
      <c r="D22" s="19" t="n">
        <f aca="false">IF(D21="","",D21-D20)</f>
        <v>-48514</v>
      </c>
      <c r="E22" s="19" t="n">
        <f aca="false">IF(E21="","",E21-E20)</f>
        <v>110372</v>
      </c>
      <c r="F22" s="19" t="n">
        <f aca="false">IF(F21="","",F21-F20)</f>
        <v>92208</v>
      </c>
      <c r="G22" s="19" t="n">
        <f aca="false">IF(G21="","",G21-G20)</f>
        <v>-290598</v>
      </c>
      <c r="H22" s="19" t="n">
        <f aca="false">IF(H21="","",H21-H20)</f>
        <v>-206427</v>
      </c>
      <c r="I22" s="19" t="n">
        <f aca="false">IF(I21="","",I21-I20)</f>
        <v>-261207</v>
      </c>
      <c r="J22" s="19" t="n">
        <f aca="false">IF(J21="","",J21-J20)</f>
        <v>-38918</v>
      </c>
      <c r="K22" s="19" t="n">
        <f aca="false">IF(K21="","",K21-K20)</f>
        <v>-271020</v>
      </c>
      <c r="L22" s="19" t="str">
        <f aca="false">IF(L21="","",L21-L20)</f>
        <v/>
      </c>
      <c r="M22" s="19" t="str">
        <f aca="false">IF(M21="","",M21-M20)</f>
        <v/>
      </c>
      <c r="N22" s="19" t="str">
        <f aca="false">IF(N21="","",N21-N20)</f>
        <v/>
      </c>
      <c r="O22" s="20"/>
      <c r="P22" s="20"/>
      <c r="Q22" s="20"/>
      <c r="R22" s="20"/>
      <c r="S22" s="20"/>
      <c r="T22" s="20"/>
      <c r="U22" s="20"/>
    </row>
    <row r="23" customFormat="false" ht="15" hidden="false" customHeight="false" outlineLevel="0" collapsed="false">
      <c r="A23" s="5" t="s">
        <v>30</v>
      </c>
      <c r="B23" s="5" t="s">
        <v>39</v>
      </c>
      <c r="C23" s="16" t="n">
        <f aca="false">SUMIFS(Data!$D$2:$D$148,Data!$A$2:$A$148,"2026-01",Data!$B$2:$B$148,"Budget",Data!$C$2:$C$148,"Technology")</f>
        <v>-2716303</v>
      </c>
      <c r="D23" s="16" t="n">
        <f aca="false">SUMIFS(Data!$D$2:$D$148,Data!$A$2:$A$148,"2026-02",Data!$B$2:$B$148,"Budget",Data!$C$2:$C$148,"Technology")</f>
        <v>-2691022</v>
      </c>
      <c r="E23" s="16" t="n">
        <f aca="false">SUMIFS(Data!$D$2:$D$148,Data!$A$2:$A$148,"2026-03",Data!$B$2:$B$148,"Budget",Data!$C$2:$C$148,"Technology")</f>
        <v>-2751696</v>
      </c>
      <c r="F23" s="16" t="n">
        <f aca="false">SUMIFS(Data!$D$2:$D$148,Data!$A$2:$A$148,"2026-04",Data!$B$2:$B$148,"Budget",Data!$C$2:$C$148,"Technology")</f>
        <v>-2782034</v>
      </c>
      <c r="G23" s="16" t="n">
        <f aca="false">SUMIFS(Data!$D$2:$D$148,Data!$A$2:$A$148,"2026-05",Data!$B$2:$B$148,"Budget",Data!$C$2:$C$148,"Technology")</f>
        <v>-2817427</v>
      </c>
      <c r="H23" s="16" t="n">
        <f aca="false">SUMIFS(Data!$D$2:$D$148,Data!$A$2:$A$148,"2026-06",Data!$B$2:$B$148,"Budget",Data!$C$2:$C$148,"Technology")</f>
        <v>-2842708</v>
      </c>
      <c r="I23" s="16" t="n">
        <f aca="false">SUMIFS(Data!$D$2:$D$148,Data!$A$2:$A$148,"2026-07",Data!$B$2:$B$148,"Budget",Data!$C$2:$C$148,"Technology")</f>
        <v>-2832596</v>
      </c>
      <c r="J23" s="16" t="n">
        <f aca="false">SUMIFS(Data!$D$2:$D$148,Data!$A$2:$A$148,"2026-08",Data!$B$2:$B$148,"Budget",Data!$C$2:$C$148,"Technology")</f>
        <v>-2802258</v>
      </c>
      <c r="K23" s="16" t="n">
        <f aca="false">SUMIFS(Data!$D$2:$D$148,Data!$A$2:$A$148,"2026-09",Data!$B$2:$B$148,"Budget",Data!$C$2:$C$148,"Technology")</f>
        <v>-2766865</v>
      </c>
      <c r="L23" s="16" t="n">
        <f aca="false">SUMIFS(Data!$D$2:$D$148,Data!$A$2:$A$148,"2026-10",Data!$B$2:$B$148,"Budget",Data!$C$2:$C$148,"Technology")</f>
        <v>-2792146</v>
      </c>
      <c r="M23" s="16" t="n">
        <f aca="false">SUMIFS(Data!$D$2:$D$148,Data!$A$2:$A$148,"2026-11",Data!$B$2:$B$148,"Budget",Data!$C$2:$C$148,"Technology")</f>
        <v>-2918551</v>
      </c>
      <c r="N23" s="16" t="n">
        <f aca="false">SUMIFS(Data!$D$2:$D$148,Data!$A$2:$A$148,"2026-12",Data!$B$2:$B$148,"Budget",Data!$C$2:$C$148,"Technology")</f>
        <v>-2994394</v>
      </c>
      <c r="O23" s="16" t="n">
        <f aca="false">SUM(C23:K23)</f>
        <v>-25002909</v>
      </c>
      <c r="P23" s="16" t="n">
        <f aca="false">SUM(C24:K24)</f>
        <v>-22162877</v>
      </c>
      <c r="Q23" s="16" t="n">
        <f aca="false">P23-O23</f>
        <v>2840032</v>
      </c>
      <c r="R23" s="11" t="n">
        <f aca="false">IF(O23=0,0,Q23/ABS(O23))</f>
        <v>0.113588062893002</v>
      </c>
      <c r="S23" s="16" t="n">
        <f aca="false">SUM(C23:N23)</f>
        <v>-33708000</v>
      </c>
      <c r="T23" s="17" t="n">
        <f aca="false">P23+SUM(Forecast!B11:D11)</f>
        <v>-30450951.1533403</v>
      </c>
      <c r="U23" s="16" t="n">
        <f aca="false">T23-S23</f>
        <v>3257048.84665967</v>
      </c>
    </row>
    <row r="24" customFormat="false" ht="15" hidden="false" customHeight="false" outlineLevel="0" collapsed="false">
      <c r="A24" s="5"/>
      <c r="B24" s="5" t="s">
        <v>42</v>
      </c>
      <c r="C24" s="16" t="n">
        <f aca="false">SUMIFS(Data!$D$2:$D$148,Data!$A$2:$A$148,"2026-01",Data!$B$2:$B$148,"Actual",Data!$C$2:$C$148,"Technology")</f>
        <v>-2382813</v>
      </c>
      <c r="D24" s="16" t="n">
        <f aca="false">SUMIFS(Data!$D$2:$D$148,Data!$A$2:$A$148,"2026-02",Data!$B$2:$B$148,"Actual",Data!$C$2:$C$148,"Technology")</f>
        <v>-2328749</v>
      </c>
      <c r="E24" s="16" t="n">
        <f aca="false">SUMIFS(Data!$D$2:$D$148,Data!$A$2:$A$148,"2026-03",Data!$B$2:$B$148,"Actual",Data!$C$2:$C$148,"Technology")</f>
        <v>-2426655</v>
      </c>
      <c r="F24" s="16" t="n">
        <f aca="false">SUMIFS(Data!$D$2:$D$148,Data!$A$2:$A$148,"2026-04",Data!$B$2:$B$148,"Actual",Data!$C$2:$C$148,"Technology")</f>
        <v>-2377663</v>
      </c>
      <c r="G24" s="16" t="n">
        <f aca="false">SUMIFS(Data!$D$2:$D$148,Data!$A$2:$A$148,"2026-05",Data!$B$2:$B$148,"Actual",Data!$C$2:$C$148,"Technology")</f>
        <v>-2511619</v>
      </c>
      <c r="H24" s="16" t="n">
        <f aca="false">SUMIFS(Data!$D$2:$D$148,Data!$A$2:$A$148,"2026-06",Data!$B$2:$B$148,"Actual",Data!$C$2:$C$148,"Technology")</f>
        <v>-2636972</v>
      </c>
      <c r="I24" s="16" t="n">
        <f aca="false">SUMIFS(Data!$D$2:$D$148,Data!$A$2:$A$148,"2026-07",Data!$B$2:$B$148,"Actual",Data!$C$2:$C$148,"Technology")</f>
        <v>-2539424</v>
      </c>
      <c r="J24" s="16" t="n">
        <f aca="false">SUMIFS(Data!$D$2:$D$148,Data!$A$2:$A$148,"2026-08",Data!$B$2:$B$148,"Actual",Data!$C$2:$C$148,"Technology")</f>
        <v>-2513900</v>
      </c>
      <c r="K24" s="16" t="n">
        <f aca="false">SUMIFS(Data!$D$2:$D$148,Data!$A$2:$A$148,"2026-09",Data!$B$2:$B$148,"Actual",Data!$C$2:$C$148,"Technology")</f>
        <v>-2445082</v>
      </c>
      <c r="L24" s="16"/>
      <c r="M24" s="16"/>
      <c r="N24" s="16"/>
      <c r="O24" s="5"/>
      <c r="P24" s="5"/>
      <c r="Q24" s="5"/>
      <c r="R24" s="5"/>
      <c r="S24" s="5"/>
      <c r="T24" s="5"/>
      <c r="U24" s="5"/>
    </row>
    <row r="25" customFormat="false" ht="15" hidden="false" customHeight="false" outlineLevel="0" collapsed="false">
      <c r="A25" s="18"/>
      <c r="B25" s="18" t="s">
        <v>74</v>
      </c>
      <c r="C25" s="19" t="n">
        <f aca="false">IF(C24="","",C24-C23)</f>
        <v>333490</v>
      </c>
      <c r="D25" s="19" t="n">
        <f aca="false">IF(D24="","",D24-D23)</f>
        <v>362273</v>
      </c>
      <c r="E25" s="19" t="n">
        <f aca="false">IF(E24="","",E24-E23)</f>
        <v>325041</v>
      </c>
      <c r="F25" s="19" t="n">
        <f aca="false">IF(F24="","",F24-F23)</f>
        <v>404371</v>
      </c>
      <c r="G25" s="19" t="n">
        <f aca="false">IF(G24="","",G24-G23)</f>
        <v>305808</v>
      </c>
      <c r="H25" s="19" t="n">
        <f aca="false">IF(H24="","",H24-H23)</f>
        <v>205736</v>
      </c>
      <c r="I25" s="19" t="n">
        <f aca="false">IF(I24="","",I24-I23)</f>
        <v>293172</v>
      </c>
      <c r="J25" s="19" t="n">
        <f aca="false">IF(J24="","",J24-J23)</f>
        <v>288358</v>
      </c>
      <c r="K25" s="19" t="n">
        <f aca="false">IF(K24="","",K24-K23)</f>
        <v>321783</v>
      </c>
      <c r="L25" s="19" t="str">
        <f aca="false">IF(L24="","",L24-L23)</f>
        <v/>
      </c>
      <c r="M25" s="19" t="str">
        <f aca="false">IF(M24="","",M24-M23)</f>
        <v/>
      </c>
      <c r="N25" s="19" t="str">
        <f aca="false">IF(N24="","",N24-N23)</f>
        <v/>
      </c>
      <c r="O25" s="20"/>
      <c r="P25" s="20"/>
      <c r="Q25" s="20"/>
      <c r="R25" s="20"/>
      <c r="S25" s="20"/>
      <c r="T25" s="20"/>
      <c r="U25" s="20"/>
    </row>
    <row r="26" customFormat="false" ht="15" hidden="false" customHeight="false" outlineLevel="0" collapsed="false">
      <c r="A26" s="5" t="s">
        <v>31</v>
      </c>
      <c r="B26" s="5" t="s">
        <v>39</v>
      </c>
      <c r="C26" s="16" t="n">
        <f aca="false">SUMIFS(Data!$D$2:$D$148,Data!$A$2:$A$148,"2026-01",Data!$B$2:$B$148,"Budget",Data!$C$2:$C$148,"General &amp; Administrative")</f>
        <v>-4395523</v>
      </c>
      <c r="D26" s="16" t="n">
        <f aca="false">SUMIFS(Data!$D$2:$D$148,Data!$A$2:$A$148,"2026-02",Data!$B$2:$B$148,"Budget",Data!$C$2:$C$148,"General &amp; Administrative")</f>
        <v>-4368557</v>
      </c>
      <c r="E26" s="16" t="n">
        <f aca="false">SUMIFS(Data!$D$2:$D$148,Data!$A$2:$A$148,"2026-03",Data!$B$2:$B$148,"Budget",Data!$C$2:$C$148,"General &amp; Administrative")</f>
        <v>-4433276</v>
      </c>
      <c r="F26" s="16" t="n">
        <f aca="false">SUMIFS(Data!$D$2:$D$148,Data!$A$2:$A$148,"2026-04",Data!$B$2:$B$148,"Budget",Data!$C$2:$C$148,"General &amp; Administrative")</f>
        <v>-4465636</v>
      </c>
      <c r="G26" s="16" t="n">
        <f aca="false">SUMIFS(Data!$D$2:$D$148,Data!$A$2:$A$148,"2026-05",Data!$B$2:$B$148,"Budget",Data!$C$2:$C$148,"General &amp; Administrative")</f>
        <v>-4503389</v>
      </c>
      <c r="H26" s="16" t="n">
        <f aca="false">SUMIFS(Data!$D$2:$D$148,Data!$A$2:$A$148,"2026-06",Data!$B$2:$B$148,"Budget",Data!$C$2:$C$148,"General &amp; Administrative")</f>
        <v>-4530355</v>
      </c>
      <c r="I26" s="16" t="n">
        <f aca="false">SUMIFS(Data!$D$2:$D$148,Data!$A$2:$A$148,"2026-07",Data!$B$2:$B$148,"Budget",Data!$C$2:$C$148,"General &amp; Administrative")</f>
        <v>-4519569</v>
      </c>
      <c r="J26" s="16" t="n">
        <f aca="false">SUMIFS(Data!$D$2:$D$148,Data!$A$2:$A$148,"2026-08",Data!$B$2:$B$148,"Budget",Data!$C$2:$C$148,"General &amp; Administrative")</f>
        <v>-4487209</v>
      </c>
      <c r="K26" s="16" t="n">
        <f aca="false">SUMIFS(Data!$D$2:$D$148,Data!$A$2:$A$148,"2026-09",Data!$B$2:$B$148,"Budget",Data!$C$2:$C$148,"General &amp; Administrative")</f>
        <v>-4449456</v>
      </c>
      <c r="L26" s="16" t="n">
        <f aca="false">SUMIFS(Data!$D$2:$D$148,Data!$A$2:$A$148,"2026-10",Data!$B$2:$B$148,"Budget",Data!$C$2:$C$148,"General &amp; Administrative")</f>
        <v>-4476422</v>
      </c>
      <c r="M26" s="16" t="n">
        <f aca="false">SUMIFS(Data!$D$2:$D$148,Data!$A$2:$A$148,"2026-11",Data!$B$2:$B$148,"Budget",Data!$C$2:$C$148,"General &amp; Administrative")</f>
        <v>-4611254</v>
      </c>
      <c r="N26" s="16" t="n">
        <f aca="false">SUMIFS(Data!$D$2:$D$148,Data!$A$2:$A$148,"2026-12",Data!$B$2:$B$148,"Budget",Data!$C$2:$C$148,"General &amp; Administrative")</f>
        <v>-4692154</v>
      </c>
      <c r="O26" s="16" t="n">
        <f aca="false">SUM(C26:K26)</f>
        <v>-40152970</v>
      </c>
      <c r="P26" s="16" t="n">
        <f aca="false">SUM(C27:K27)</f>
        <v>-40704328</v>
      </c>
      <c r="Q26" s="16" t="n">
        <f aca="false">P26-O26</f>
        <v>-551358</v>
      </c>
      <c r="R26" s="11" t="n">
        <f aca="false">IF(O26=0,0,Q26/ABS(O26))</f>
        <v>-0.0137314375499496</v>
      </c>
      <c r="S26" s="16" t="n">
        <f aca="false">SUM(C26:N26)</f>
        <v>-53932800</v>
      </c>
      <c r="T26" s="17" t="n">
        <f aca="false">P26+SUM(Forecast!B12:D12)</f>
        <v>-54165855.6664405</v>
      </c>
      <c r="U26" s="16" t="n">
        <f aca="false">T26-S26</f>
        <v>-233055.666440487</v>
      </c>
    </row>
    <row r="27" customFormat="false" ht="15" hidden="false" customHeight="false" outlineLevel="0" collapsed="false">
      <c r="A27" s="5"/>
      <c r="B27" s="5" t="s">
        <v>42</v>
      </c>
      <c r="C27" s="16" t="n">
        <f aca="false">SUMIFS(Data!$D$2:$D$148,Data!$A$2:$A$148,"2026-01",Data!$B$2:$B$148,"Actual",Data!$C$2:$C$148,"General &amp; Administrative")</f>
        <v>-4543145</v>
      </c>
      <c r="D27" s="16" t="n">
        <f aca="false">SUMIFS(Data!$D$2:$D$148,Data!$A$2:$A$148,"2026-02",Data!$B$2:$B$148,"Actual",Data!$C$2:$C$148,"General &amp; Administrative")</f>
        <v>-4386297</v>
      </c>
      <c r="E27" s="16" t="n">
        <f aca="false">SUMIFS(Data!$D$2:$D$148,Data!$A$2:$A$148,"2026-03",Data!$B$2:$B$148,"Actual",Data!$C$2:$C$148,"General &amp; Administrative")</f>
        <v>-4360422</v>
      </c>
      <c r="F27" s="16" t="n">
        <f aca="false">SUMIFS(Data!$D$2:$D$148,Data!$A$2:$A$148,"2026-04",Data!$B$2:$B$148,"Actual",Data!$C$2:$C$148,"General &amp; Administrative")</f>
        <v>-4519544</v>
      </c>
      <c r="G27" s="16" t="n">
        <f aca="false">SUMIFS(Data!$D$2:$D$148,Data!$A$2:$A$148,"2026-05",Data!$B$2:$B$148,"Actual",Data!$C$2:$C$148,"General &amp; Administrative")</f>
        <v>-4461405</v>
      </c>
      <c r="H27" s="16" t="n">
        <f aca="false">SUMIFS(Data!$D$2:$D$148,Data!$A$2:$A$148,"2026-06",Data!$B$2:$B$148,"Actual",Data!$C$2:$C$148,"General &amp; Administrative")</f>
        <v>-4587308</v>
      </c>
      <c r="I27" s="16" t="n">
        <f aca="false">SUMIFS(Data!$D$2:$D$148,Data!$A$2:$A$148,"2026-07",Data!$B$2:$B$148,"Actual",Data!$C$2:$C$148,"General &amp; Administrative")</f>
        <v>-4651829</v>
      </c>
      <c r="J27" s="16" t="n">
        <f aca="false">SUMIFS(Data!$D$2:$D$148,Data!$A$2:$A$148,"2026-08",Data!$B$2:$B$148,"Actual",Data!$C$2:$C$148,"General &amp; Administrative")</f>
        <v>-4632631</v>
      </c>
      <c r="K27" s="16" t="n">
        <f aca="false">SUMIFS(Data!$D$2:$D$148,Data!$A$2:$A$148,"2026-09",Data!$B$2:$B$148,"Actual",Data!$C$2:$C$148,"General &amp; Administrative")</f>
        <v>-4561747</v>
      </c>
      <c r="L27" s="16"/>
      <c r="M27" s="16"/>
      <c r="N27" s="16"/>
      <c r="O27" s="5"/>
      <c r="P27" s="5"/>
      <c r="Q27" s="5"/>
      <c r="R27" s="5"/>
      <c r="S27" s="5"/>
      <c r="T27" s="5"/>
      <c r="U27" s="5"/>
    </row>
    <row r="28" customFormat="false" ht="15" hidden="false" customHeight="false" outlineLevel="0" collapsed="false">
      <c r="A28" s="18"/>
      <c r="B28" s="18" t="s">
        <v>74</v>
      </c>
      <c r="C28" s="19" t="n">
        <f aca="false">IF(C27="","",C27-C26)</f>
        <v>-147622</v>
      </c>
      <c r="D28" s="19" t="n">
        <f aca="false">IF(D27="","",D27-D26)</f>
        <v>-17740</v>
      </c>
      <c r="E28" s="19" t="n">
        <f aca="false">IF(E27="","",E27-E26)</f>
        <v>72854</v>
      </c>
      <c r="F28" s="19" t="n">
        <f aca="false">IF(F27="","",F27-F26)</f>
        <v>-53908</v>
      </c>
      <c r="G28" s="19" t="n">
        <f aca="false">IF(G27="","",G27-G26)</f>
        <v>41984</v>
      </c>
      <c r="H28" s="19" t="n">
        <f aca="false">IF(H27="","",H27-H26)</f>
        <v>-56953</v>
      </c>
      <c r="I28" s="19" t="n">
        <f aca="false">IF(I27="","",I27-I26)</f>
        <v>-132260</v>
      </c>
      <c r="J28" s="19" t="n">
        <f aca="false">IF(J27="","",J27-J26)</f>
        <v>-145422</v>
      </c>
      <c r="K28" s="19" t="n">
        <f aca="false">IF(K27="","",K27-K26)</f>
        <v>-112291</v>
      </c>
      <c r="L28" s="19" t="str">
        <f aca="false">IF(L27="","",L27-L26)</f>
        <v/>
      </c>
      <c r="M28" s="19" t="str">
        <f aca="false">IF(M27="","",M27-M26)</f>
        <v/>
      </c>
      <c r="N28" s="19" t="str">
        <f aca="false">IF(N27="","",N27-N26)</f>
        <v/>
      </c>
      <c r="O28" s="20"/>
      <c r="P28" s="20"/>
      <c r="Q28" s="20"/>
      <c r="R28" s="20"/>
      <c r="S28" s="20"/>
      <c r="T28" s="20"/>
      <c r="U28" s="20"/>
    </row>
    <row r="29" customFormat="false" ht="15" hidden="false" customHeight="false" outlineLevel="0" collapsed="false">
      <c r="A29" s="21" t="s">
        <v>76</v>
      </c>
      <c r="B29" s="21" t="s">
        <v>39</v>
      </c>
      <c r="C29" s="22" t="n">
        <f aca="false">C11+C14+C17+C20+C23+C26</f>
        <v>2926415</v>
      </c>
      <c r="D29" s="22" t="n">
        <f aca="false">D11+D14+D17+D20+D23+D26</f>
        <v>1273039</v>
      </c>
      <c r="E29" s="22" t="n">
        <f aca="false">E11+E14+E17+E20+E23+E26</f>
        <v>5241147</v>
      </c>
      <c r="F29" s="22" t="n">
        <f aca="false">F11+F14+F17+F20+F23+F26</f>
        <v>7225194</v>
      </c>
      <c r="G29" s="22" t="n">
        <f aca="false">G11+G14+G17+G20+G23+G26</f>
        <v>9539927</v>
      </c>
      <c r="H29" s="22" t="n">
        <f aca="false">H11+H14+H17+H20+H23+H26</f>
        <v>11193304</v>
      </c>
      <c r="I29" s="22" t="n">
        <f aca="false">I11+I14+I17+I20+I23+I26</f>
        <v>10531951</v>
      </c>
      <c r="J29" s="22" t="n">
        <f aca="false">J11+J14+J17+J20+J23+J26</f>
        <v>8547900</v>
      </c>
      <c r="K29" s="22" t="n">
        <f aca="false">K11+K14+K17+K20+K23+K26</f>
        <v>6233171</v>
      </c>
      <c r="L29" s="22" t="n">
        <f aca="false">L11+L14+L17+L20+L23+L26</f>
        <v>7886548</v>
      </c>
      <c r="M29" s="22" t="n">
        <f aca="false">M11+M14+M17+M20+M23+M26</f>
        <v>16153436</v>
      </c>
      <c r="N29" s="22" t="n">
        <f aca="false">N11+N14+N17+N20+N23+N26</f>
        <v>21113569</v>
      </c>
      <c r="O29" s="22" t="n">
        <f aca="false">SUM(C29:K29)</f>
        <v>62712048</v>
      </c>
      <c r="P29" s="22" t="n">
        <f aca="false">SUM(C30:K30)</f>
        <v>70158084</v>
      </c>
      <c r="Q29" s="22" t="n">
        <f aca="false">P29-O29</f>
        <v>7446036</v>
      </c>
      <c r="R29" s="23" t="n">
        <f aca="false">IF(O29=0,0,Q29/ABS(O29))</f>
        <v>0.118733739966521</v>
      </c>
      <c r="S29" s="22" t="n">
        <f aca="false">SUM(C29:N29)</f>
        <v>107865601</v>
      </c>
      <c r="T29" s="22" t="n">
        <f aca="false">P29+SUM(Forecast!B14:D14)</f>
        <v>122522652.936076</v>
      </c>
      <c r="U29" s="22" t="n">
        <f aca="false">T29-S29</f>
        <v>14657051.9360757</v>
      </c>
    </row>
    <row r="30" customFormat="false" ht="15" hidden="false" customHeight="false" outlineLevel="0" collapsed="false">
      <c r="A30" s="21"/>
      <c r="B30" s="21" t="s">
        <v>42</v>
      </c>
      <c r="C30" s="22" t="n">
        <f aca="false">C12+C15+C18+C21+C24+C27</f>
        <v>2590036</v>
      </c>
      <c r="D30" s="22" t="n">
        <f aca="false">D12+D15+D18+D21+D24+D27</f>
        <v>1650334</v>
      </c>
      <c r="E30" s="22" t="n">
        <f aca="false">E12+E15+E18+E21+E24+E27</f>
        <v>5752912</v>
      </c>
      <c r="F30" s="22" t="n">
        <f aca="false">F12+F15+F18+F21+F24+F27</f>
        <v>7894265</v>
      </c>
      <c r="G30" s="22" t="n">
        <f aca="false">G12+G15+G18+G21+G24+G27</f>
        <v>11339696</v>
      </c>
      <c r="H30" s="22" t="n">
        <f aca="false">H12+H15+H18+H21+H24+H27</f>
        <v>12372955</v>
      </c>
      <c r="I30" s="22" t="n">
        <f aca="false">I12+I15+I18+I21+I24+I27</f>
        <v>11557934</v>
      </c>
      <c r="J30" s="22" t="n">
        <f aca="false">J12+J15+J18+J21+J24+J27</f>
        <v>9134498</v>
      </c>
      <c r="K30" s="22" t="n">
        <f aca="false">K12+K15+K18+K21+K24+K27</f>
        <v>7865454</v>
      </c>
      <c r="L30" s="22"/>
      <c r="M30" s="22"/>
      <c r="N30" s="22"/>
      <c r="O30" s="21"/>
      <c r="P30" s="21"/>
      <c r="Q30" s="21"/>
      <c r="R30" s="21"/>
      <c r="S30" s="21"/>
      <c r="T30" s="21"/>
      <c r="U30" s="21"/>
    </row>
    <row r="31" customFormat="false" ht="15" hidden="false" customHeight="false" outlineLevel="0" collapsed="false">
      <c r="A31" s="24"/>
      <c r="B31" s="24" t="s">
        <v>74</v>
      </c>
      <c r="C31" s="25" t="n">
        <f aca="false">IF(C30="","",C30-C29)</f>
        <v>-336379</v>
      </c>
      <c r="D31" s="25" t="n">
        <f aca="false">IF(D30="","",D30-D29)</f>
        <v>377295</v>
      </c>
      <c r="E31" s="25" t="n">
        <f aca="false">IF(E30="","",E30-E29)</f>
        <v>511765</v>
      </c>
      <c r="F31" s="25" t="n">
        <f aca="false">IF(F30="","",F30-F29)</f>
        <v>669071</v>
      </c>
      <c r="G31" s="25" t="n">
        <f aca="false">IF(G30="","",G30-G29)</f>
        <v>1799769</v>
      </c>
      <c r="H31" s="25" t="n">
        <f aca="false">IF(H30="","",H30-H29)</f>
        <v>1179651</v>
      </c>
      <c r="I31" s="25" t="n">
        <f aca="false">IF(I30="","",I30-I29)</f>
        <v>1025983</v>
      </c>
      <c r="J31" s="25" t="n">
        <f aca="false">IF(J30="","",J30-J29)</f>
        <v>586598</v>
      </c>
      <c r="K31" s="25" t="n">
        <f aca="false">IF(K30="","",K30-K29)</f>
        <v>1632283</v>
      </c>
      <c r="L31" s="25" t="str">
        <f aca="false">IF(L30="","",L30-L29)</f>
        <v/>
      </c>
      <c r="M31" s="25" t="str">
        <f aca="false">IF(M30="","",M30-M29)</f>
        <v/>
      </c>
      <c r="N31" s="25" t="str">
        <f aca="false">IF(N30="","",N30-N29)</f>
        <v/>
      </c>
      <c r="O31" s="24"/>
      <c r="P31" s="24"/>
      <c r="Q31" s="24"/>
      <c r="R31" s="24"/>
      <c r="S31" s="24"/>
      <c r="T31" s="24"/>
      <c r="U3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2"/>
  </cols>
  <sheetData>
    <row r="1" customFormat="false" ht="16.15" hidden="false" customHeight="false" outlineLevel="0" collapsed="false">
      <c r="A1" s="4" t="s">
        <v>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26" t="str">
        <f aca="false">"Scenario: "&amp;Assumptions!B3</f>
        <v>Scenario: Base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7" t="s">
        <v>34</v>
      </c>
      <c r="B4" s="27" t="s">
        <v>41</v>
      </c>
      <c r="C4" s="27" t="s">
        <v>43</v>
      </c>
      <c r="D4" s="27" t="s">
        <v>44</v>
      </c>
      <c r="E4" s="27" t="s">
        <v>45</v>
      </c>
      <c r="F4" s="27" t="s">
        <v>46</v>
      </c>
      <c r="G4" s="27" t="s">
        <v>47</v>
      </c>
      <c r="H4" s="27" t="s">
        <v>49</v>
      </c>
      <c r="I4" s="27" t="s">
        <v>50</v>
      </c>
      <c r="J4" s="27" t="s">
        <v>51</v>
      </c>
      <c r="K4" s="27" t="s">
        <v>52</v>
      </c>
      <c r="L4" s="27" t="s">
        <v>53</v>
      </c>
      <c r="M4" s="27" t="s">
        <v>54</v>
      </c>
      <c r="N4" s="7" t="s">
        <v>78</v>
      </c>
    </row>
    <row r="5" customFormat="false" ht="15" hidden="false" customHeight="false" outlineLevel="0" collapsed="false">
      <c r="A5" s="5" t="s">
        <v>48</v>
      </c>
      <c r="B5" s="16" t="n">
        <f aca="false">Data!$G$2*Assumptions!$B$10</f>
        <v>112395510</v>
      </c>
      <c r="C5" s="16" t="n">
        <f aca="false">Data!$G$3*Assumptions!$B$10</f>
        <v>149730186</v>
      </c>
      <c r="D5" s="16" t="n">
        <f aca="false">Data!$G$4*Assumptions!$B$10</f>
        <v>173779417</v>
      </c>
      <c r="E5" s="16" t="n">
        <f aca="false">Data!$G$5*Assumptions!$B$10</f>
        <v>92922171</v>
      </c>
      <c r="F5" s="16" t="n">
        <f aca="false">Data!$G$6*Assumptions!$B$10</f>
        <v>86581544</v>
      </c>
      <c r="G5" s="16" t="n">
        <f aca="false">Data!$G$7*Assumptions!$B$10</f>
        <v>104542391</v>
      </c>
      <c r="H5" s="16" t="n">
        <f aca="false">Data!$G$8*Assumptions!$B$10</f>
        <v>114961469</v>
      </c>
      <c r="I5" s="16" t="n">
        <f aca="false">Data!$G$9*Assumptions!$B$10</f>
        <v>126619163</v>
      </c>
      <c r="J5" s="16" t="n">
        <f aca="false">Data!$G$10*Assumptions!$B$10</f>
        <v>134037068</v>
      </c>
      <c r="K5" s="16" t="n">
        <f aca="false">Data!$G$11*Assumptions!$B$10</f>
        <v>131622563</v>
      </c>
      <c r="L5" s="16" t="n">
        <f aca="false">Data!$G$12*Assumptions!$B$10</f>
        <v>122513825</v>
      </c>
      <c r="M5" s="16" t="n">
        <f aca="false">Data!$G$13*Assumptions!$B$10</f>
        <v>114465127</v>
      </c>
      <c r="N5" s="16" t="n">
        <f aca="false">SUM(B5:M5)</f>
        <v>1464170434</v>
      </c>
    </row>
    <row r="6" customFormat="false" ht="15" hidden="false" customHeight="false" outlineLevel="0" collapsed="false">
      <c r="A6" s="5" t="s">
        <v>40</v>
      </c>
      <c r="B6" s="16" t="n">
        <f aca="false">-B5*(1-(Assumptions!$B$12+Assumptions!$B$11))</f>
        <v>-70025952.1802058</v>
      </c>
      <c r="C6" s="16" t="n">
        <f aca="false">-C5*(1-(Assumptions!$B$12+Assumptions!$B$11))</f>
        <v>-93286634.3572739</v>
      </c>
      <c r="D6" s="16" t="n">
        <f aca="false">-D5*(1-(Assumptions!$B$12+Assumptions!$B$11))</f>
        <v>-108270064.744989</v>
      </c>
      <c r="E6" s="16" t="n">
        <f aca="false">-E5*(1-(Assumptions!$B$12+Assumptions!$B$11))</f>
        <v>-57893447.0151602</v>
      </c>
      <c r="F6" s="16" t="n">
        <f aca="false">-F5*(1-(Assumptions!$B$12+Assumptions!$B$11))</f>
        <v>-53943036.1571595</v>
      </c>
      <c r="G6" s="16" t="n">
        <f aca="false">-G5*(1-(Assumptions!$B$12+Assumptions!$B$11))</f>
        <v>-65133211.0417078</v>
      </c>
      <c r="H6" s="16" t="n">
        <f aca="false">-H5*(1-(Assumptions!$B$12+Assumptions!$B$11))</f>
        <v>-71624625.670191</v>
      </c>
      <c r="I6" s="16" t="n">
        <f aca="false">-I5*(1-(Assumptions!$B$12+Assumptions!$B$11))</f>
        <v>-78887737.1821675</v>
      </c>
      <c r="J6" s="16" t="n">
        <f aca="false">-J5*(1-(Assumptions!$B$12+Assumptions!$B$11))</f>
        <v>-83509326.2546074</v>
      </c>
      <c r="K6" s="16" t="n">
        <f aca="false">-K5*(1-(Assumptions!$B$12+Assumptions!$B$11))</f>
        <v>-82005013.3895395</v>
      </c>
      <c r="L6" s="16" t="n">
        <f aca="false">-L5*(1-(Assumptions!$B$12+Assumptions!$B$11))</f>
        <v>-76329981.9615935</v>
      </c>
      <c r="M6" s="16" t="n">
        <f aca="false">-M5*(1-(Assumptions!$B$12+Assumptions!$B$11))</f>
        <v>-71315388.9297107</v>
      </c>
      <c r="N6" s="16" t="n">
        <f aca="false">SUM(B6:M6)</f>
        <v>-912224418.884306</v>
      </c>
    </row>
    <row r="7" customFormat="false" ht="15" hidden="false" customHeight="false" outlineLevel="0" collapsed="false">
      <c r="A7" s="28" t="s">
        <v>75</v>
      </c>
      <c r="B7" s="29" t="n">
        <f aca="false">B5+B6</f>
        <v>42369557.8197942</v>
      </c>
      <c r="C7" s="29" t="n">
        <f aca="false">C5+C6</f>
        <v>56443551.6427261</v>
      </c>
      <c r="D7" s="29" t="n">
        <f aca="false">D5+D6</f>
        <v>65509352.2550112</v>
      </c>
      <c r="E7" s="29" t="n">
        <f aca="false">E5+E6</f>
        <v>35028723.9848398</v>
      </c>
      <c r="F7" s="29" t="n">
        <f aca="false">F5+F6</f>
        <v>32638507.8428405</v>
      </c>
      <c r="G7" s="29" t="n">
        <f aca="false">G5+G6</f>
        <v>39409179.9582922</v>
      </c>
      <c r="H7" s="29" t="n">
        <f aca="false">H5+H6</f>
        <v>43336843.329809</v>
      </c>
      <c r="I7" s="29" t="n">
        <f aca="false">I5+I6</f>
        <v>47731425.8178325</v>
      </c>
      <c r="J7" s="29" t="n">
        <f aca="false">J5+J6</f>
        <v>50527741.7453926</v>
      </c>
      <c r="K7" s="29" t="n">
        <f aca="false">K5+K6</f>
        <v>49617549.6104605</v>
      </c>
      <c r="L7" s="29" t="n">
        <f aca="false">L5+L6</f>
        <v>46183843.0384065</v>
      </c>
      <c r="M7" s="29" t="n">
        <f aca="false">M5+M6</f>
        <v>43149738.0702893</v>
      </c>
      <c r="N7" s="29" t="n">
        <f aca="false">SUM(B7:M7)</f>
        <v>551946015.115694</v>
      </c>
    </row>
    <row r="8" customFormat="false" ht="15" hidden="false" customHeight="false" outlineLevel="0" collapsed="false">
      <c r="A8" s="5" t="s">
        <v>27</v>
      </c>
      <c r="B8" s="16" t="n">
        <f aca="false">-(Assumptions!$B$15+Assumptions!$C$15*B$5)</f>
        <v>-15516506.7350784</v>
      </c>
      <c r="C8" s="16" t="n">
        <f aca="false">-(Assumptions!$B$15+Assumptions!$C$15*C$5)</f>
        <v>-17459247.9618662</v>
      </c>
      <c r="D8" s="16" t="n">
        <f aca="false">-(Assumptions!$B$15+Assumptions!$C$15*D$5)</f>
        <v>-18710669.8983053</v>
      </c>
      <c r="E8" s="16" t="n">
        <f aca="false">-(Assumptions!$B$15+Assumptions!$C$15*E$5)</f>
        <v>-14503195.1826086</v>
      </c>
      <c r="F8" s="16" t="n">
        <f aca="false">-(Assumptions!$B$15+Assumptions!$C$15*F$5)</f>
        <v>-14173255.330537</v>
      </c>
      <c r="G8" s="16" t="n">
        <f aca="false">-(Assumptions!$B$15+Assumptions!$C$15*G$5)</f>
        <v>-15107863.0912934</v>
      </c>
      <c r="H8" s="16" t="n">
        <f aca="false">-(Assumptions!$B$15+Assumptions!$C$15*H$5)</f>
        <v>-15650028.567049</v>
      </c>
      <c r="I8" s="16" t="n">
        <f aca="false">-(Assumptions!$B$15+Assumptions!$C$15*I$5)</f>
        <v>-16256646.4668019</v>
      </c>
      <c r="J8" s="16" t="n">
        <f aca="false">-(Assumptions!$B$15+Assumptions!$C$15*J$5)</f>
        <v>-16642643.3845171</v>
      </c>
      <c r="K8" s="16" t="n">
        <f aca="false">-(Assumptions!$B$15+Assumptions!$C$15*K$5)</f>
        <v>-16517002.5886579</v>
      </c>
      <c r="L8" s="16" t="n">
        <f aca="false">-(Assumptions!$B$15+Assumptions!$C$15*L$5)</f>
        <v>-16043021.755488</v>
      </c>
      <c r="M8" s="16" t="n">
        <f aca="false">-(Assumptions!$B$15+Assumptions!$C$15*M$5)</f>
        <v>-15624200.9941517</v>
      </c>
      <c r="N8" s="16" t="n">
        <f aca="false">SUM(B8:M8)</f>
        <v>-192204281.956355</v>
      </c>
    </row>
    <row r="9" customFormat="false" ht="15" hidden="false" customHeight="false" outlineLevel="0" collapsed="false">
      <c r="A9" s="5" t="s">
        <v>28</v>
      </c>
      <c r="B9" s="16" t="n">
        <f aca="false">-(Assumptions!$B$16+Assumptions!$C$16*B$5)</f>
        <v>-5018381.2028424</v>
      </c>
      <c r="C9" s="16" t="n">
        <f aca="false">-(Assumptions!$B$16+Assumptions!$C$16*C$5)</f>
        <v>-6332272.08095664</v>
      </c>
      <c r="D9" s="16" t="n">
        <f aca="false">-(Assumptions!$B$16+Assumptions!$C$16*D$5)</f>
        <v>-7178618.39012408</v>
      </c>
      <c r="E9" s="16" t="n">
        <f aca="false">-(Assumptions!$B$16+Assumptions!$C$16*E$5)</f>
        <v>-4333070.78315304</v>
      </c>
      <c r="F9" s="16" t="n">
        <f aca="false">-(Assumptions!$B$16+Assumptions!$C$16*F$5)</f>
        <v>-4109929.91601856</v>
      </c>
      <c r="G9" s="16" t="n">
        <f aca="false">-(Assumptions!$B$16+Assumptions!$C$16*G$5)</f>
        <v>-4742012.35424584</v>
      </c>
      <c r="H9" s="16" t="n">
        <f aca="false">-(Assumptions!$B$16+Assumptions!$C$16*H$5)</f>
        <v>-5108683.04780056</v>
      </c>
      <c r="I9" s="16" t="n">
        <f aca="false">-(Assumptions!$B$16+Assumptions!$C$16*I$5)</f>
        <v>-5518943.41289512</v>
      </c>
      <c r="J9" s="16" t="n">
        <f aca="false">-(Assumptions!$B$16+Assumptions!$C$16*J$5)</f>
        <v>-5779996.10595232</v>
      </c>
      <c r="K9" s="16" t="n">
        <f aca="false">-(Assumptions!$B$16+Assumptions!$C$16*K$5)</f>
        <v>-5695024.26651112</v>
      </c>
      <c r="L9" s="16" t="n">
        <f aca="false">-(Assumptions!$B$16+Assumptions!$C$16*L$5)</f>
        <v>-5374467.372718</v>
      </c>
      <c r="M9" s="16" t="n">
        <f aca="false">-(Assumptions!$B$16+Assumptions!$C$16*M$5)</f>
        <v>-5091215.66101448</v>
      </c>
      <c r="N9" s="16" t="n">
        <f aca="false">SUM(B9:M9)</f>
        <v>-64282614.5942322</v>
      </c>
    </row>
    <row r="10" customFormat="false" ht="15" hidden="false" customHeight="false" outlineLevel="0" collapsed="false">
      <c r="A10" s="5" t="s">
        <v>29</v>
      </c>
      <c r="B10" s="16" t="n">
        <f aca="false">-(Assumptions!$B$17+Assumptions!$C$17*B$5)</f>
        <v>-5585151.1396711</v>
      </c>
      <c r="C10" s="16" t="n">
        <f aca="false">-(Assumptions!$B$17+Assumptions!$C$17*C$5)</f>
        <v>-6809415.27453946</v>
      </c>
      <c r="D10" s="16" t="n">
        <f aca="false">-(Assumptions!$B$17+Assumptions!$C$17*D$5)</f>
        <v>-7598028.27829137</v>
      </c>
      <c r="E10" s="16" t="n">
        <f aca="false">-(Assumptions!$B$17+Assumptions!$C$17*E$5)</f>
        <v>-4946589.00178531</v>
      </c>
      <c r="F10" s="16" t="n">
        <f aca="false">-(Assumptions!$B$17+Assumptions!$C$17*F$5)</f>
        <v>-4738669.63404584</v>
      </c>
      <c r="G10" s="16" t="n">
        <f aca="false">-(Assumptions!$B$17+Assumptions!$C$17*G$5)</f>
        <v>-5327634.72413951</v>
      </c>
      <c r="H10" s="16" t="n">
        <f aca="false">-(Assumptions!$B$17+Assumptions!$C$17*H$5)</f>
        <v>-5669293.06647509</v>
      </c>
      <c r="I10" s="16" t="n">
        <f aca="false">-(Assumptions!$B$17+Assumptions!$C$17*I$5)</f>
        <v>-6051567.62162243</v>
      </c>
      <c r="J10" s="16" t="n">
        <f aca="false">-(Assumptions!$B$17+Assumptions!$C$17*J$5)</f>
        <v>-6294812.66939948</v>
      </c>
      <c r="K10" s="16" t="n">
        <f aca="false">-(Assumptions!$B$17+Assumptions!$C$17*K$5)</f>
        <v>-6215637.16309643</v>
      </c>
      <c r="L10" s="16" t="n">
        <f aca="false">-(Assumptions!$B$17+Assumptions!$C$17*L$5)</f>
        <v>-5916946.97900825</v>
      </c>
      <c r="M10" s="16" t="n">
        <f aca="false">-(Assumptions!$B$17+Assumptions!$C$17*M$5)</f>
        <v>-5653017.21318447</v>
      </c>
      <c r="N10" s="16" t="n">
        <f aca="false">SUM(B10:M10)</f>
        <v>-70806762.7652587</v>
      </c>
    </row>
    <row r="11" customFormat="false" ht="15" hidden="false" customHeight="false" outlineLevel="0" collapsed="false">
      <c r="A11" s="5" t="s">
        <v>30</v>
      </c>
      <c r="B11" s="16" t="n">
        <f aca="false">-(Assumptions!$B$18+Assumptions!$C$18*B$5)</f>
        <v>-2526148.1680391</v>
      </c>
      <c r="C11" s="16" t="n">
        <f aca="false">-(Assumptions!$B$18+Assumptions!$C$18*C$5)</f>
        <v>-2794525.12634426</v>
      </c>
      <c r="D11" s="16" t="n">
        <f aca="false">-(Assumptions!$B$18+Assumptions!$C$18*D$5)</f>
        <v>-2967400.85895697</v>
      </c>
      <c r="E11" s="16" t="n">
        <f aca="false">-(Assumptions!$B$18+Assumptions!$C$18*E$5)</f>
        <v>-2386165.82323811</v>
      </c>
      <c r="F11" s="16" t="n">
        <f aca="false">-(Assumptions!$B$18+Assumptions!$C$18*F$5)</f>
        <v>-2340586.79670504</v>
      </c>
      <c r="G11" s="16" t="n">
        <f aca="false">-(Assumptions!$B$18+Assumptions!$C$18*G$5)</f>
        <v>-2469696.72888831</v>
      </c>
      <c r="H11" s="16" t="n">
        <f aca="false">-(Assumptions!$B$18+Assumptions!$C$18*H$5)</f>
        <v>-2544593.33337429</v>
      </c>
      <c r="I11" s="16" t="n">
        <f aca="false">-(Assumptions!$B$18+Assumptions!$C$18*I$5)</f>
        <v>-2628393.61750083</v>
      </c>
      <c r="J11" s="16" t="n">
        <f aca="false">-(Assumptions!$B$18+Assumptions!$C$18*J$5)</f>
        <v>-2681716.55998188</v>
      </c>
      <c r="K11" s="16" t="n">
        <f aca="false">-(Assumptions!$B$18+Assumptions!$C$18*K$5)</f>
        <v>-2664360.10809483</v>
      </c>
      <c r="L11" s="16" t="n">
        <f aca="false">-(Assumptions!$B$18+Assumptions!$C$18*L$5)</f>
        <v>-2598882.76476825</v>
      </c>
      <c r="M11" s="16" t="n">
        <f aca="false">-(Assumptions!$B$18+Assumptions!$C$18*M$5)</f>
        <v>-2541025.42357807</v>
      </c>
      <c r="N11" s="16" t="n">
        <f aca="false">SUM(B11:M11)</f>
        <v>-31143495.3094699</v>
      </c>
    </row>
    <row r="12" customFormat="false" ht="15" hidden="false" customHeight="false" outlineLevel="0" collapsed="false">
      <c r="A12" s="5" t="s">
        <v>31</v>
      </c>
      <c r="B12" s="16" t="n">
        <f aca="false">-(Assumptions!$B$19+Assumptions!$C$19*B$5)</f>
        <v>-4476753.5098823</v>
      </c>
      <c r="C12" s="16" t="n">
        <f aca="false">-(Assumptions!$B$19+Assumptions!$C$19*C$5)</f>
        <v>-4488578.52181178</v>
      </c>
      <c r="D12" s="16" t="n">
        <f aca="false">-(Assumptions!$B$19+Assumptions!$C$19*D$5)</f>
        <v>-4496195.63474641</v>
      </c>
      <c r="E12" s="16" t="n">
        <f aca="false">-(Assumptions!$B$19+Assumptions!$C$19*E$5)</f>
        <v>-4470585.71922083</v>
      </c>
      <c r="F12" s="16" t="n">
        <f aca="false">-(Assumptions!$B$19+Assumptions!$C$19*F$5)</f>
        <v>-4468577.45243112</v>
      </c>
      <c r="G12" s="16" t="n">
        <f aca="false">-(Assumptions!$B$19+Assumptions!$C$19*G$5)</f>
        <v>-4474266.19150143</v>
      </c>
      <c r="H12" s="16" t="n">
        <f aca="false">-(Assumptions!$B$19+Assumptions!$C$19*H$5)</f>
        <v>-4477566.22607637</v>
      </c>
      <c r="I12" s="16" t="n">
        <f aca="false">-(Assumptions!$B$19+Assumptions!$C$19*I$5)</f>
        <v>-4481258.56749699</v>
      </c>
      <c r="J12" s="16" t="n">
        <f aca="false">-(Assumptions!$B$19+Assumptions!$C$19*J$5)</f>
        <v>-4483608.04054764</v>
      </c>
      <c r="K12" s="16" t="n">
        <f aca="false">-(Assumptions!$B$19+Assumptions!$C$19*K$5)</f>
        <v>-4482843.29437899</v>
      </c>
      <c r="L12" s="16" t="n">
        <f aca="false">-(Assumptions!$B$19+Assumptions!$C$19*L$5)</f>
        <v>-4479958.28379225</v>
      </c>
      <c r="M12" s="16" t="n">
        <f aca="false">-(Assumptions!$B$19+Assumptions!$C$19*M$5)</f>
        <v>-4477409.01967471</v>
      </c>
      <c r="N12" s="16" t="n">
        <f aca="false">SUM(B12:M12)</f>
        <v>-53757600.4615608</v>
      </c>
    </row>
    <row r="13" customFormat="false" ht="15" hidden="false" customHeight="false" outlineLevel="0" collapsed="false">
      <c r="A13" s="5" t="s">
        <v>79</v>
      </c>
      <c r="B13" s="16" t="n">
        <f aca="false">SUM(B8:B12)</f>
        <v>-33122940.7555133</v>
      </c>
      <c r="C13" s="16" t="n">
        <f aca="false">SUM(C8:C12)</f>
        <v>-37884038.9655184</v>
      </c>
      <c r="D13" s="16" t="n">
        <f aca="false">SUM(D8:D12)</f>
        <v>-40950913.0604241</v>
      </c>
      <c r="E13" s="16" t="n">
        <f aca="false">SUM(E8:E12)</f>
        <v>-30639606.5100059</v>
      </c>
      <c r="F13" s="16" t="n">
        <f aca="false">SUM(F8:F12)</f>
        <v>-29831019.1297375</v>
      </c>
      <c r="G13" s="16" t="n">
        <f aca="false">SUM(G8:G12)</f>
        <v>-32121473.0900685</v>
      </c>
      <c r="H13" s="16" t="n">
        <f aca="false">SUM(H8:H12)</f>
        <v>-33450164.2407753</v>
      </c>
      <c r="I13" s="16" t="n">
        <f aca="false">SUM(I8:I12)</f>
        <v>-34936809.6863173</v>
      </c>
      <c r="J13" s="16" t="n">
        <f aca="false">SUM(J8:J12)</f>
        <v>-35882776.7603984</v>
      </c>
      <c r="K13" s="16" t="n">
        <f aca="false">SUM(K8:K12)</f>
        <v>-35574867.4207393</v>
      </c>
      <c r="L13" s="16" t="n">
        <f aca="false">SUM(L8:L12)</f>
        <v>-34413277.1557748</v>
      </c>
      <c r="M13" s="16" t="n">
        <f aca="false">SUM(M8:M12)</f>
        <v>-33386868.3116034</v>
      </c>
      <c r="N13" s="16" t="n">
        <f aca="false">SUM(B13:M13)</f>
        <v>-412194755.086876</v>
      </c>
    </row>
    <row r="14" customFormat="false" ht="15" hidden="false" customHeight="false" outlineLevel="0" collapsed="false">
      <c r="A14" s="28" t="s">
        <v>76</v>
      </c>
      <c r="B14" s="29" t="n">
        <f aca="false">B7+B13</f>
        <v>9246617.06428091</v>
      </c>
      <c r="C14" s="29" t="n">
        <f aca="false">C7+C13</f>
        <v>18559512.6772078</v>
      </c>
      <c r="D14" s="29" t="n">
        <f aca="false">D7+D13</f>
        <v>24558439.194587</v>
      </c>
      <c r="E14" s="29" t="n">
        <f aca="false">E7+E13</f>
        <v>4389117.47483389</v>
      </c>
      <c r="F14" s="29" t="n">
        <f aca="false">F7+F13</f>
        <v>2807488.71310296</v>
      </c>
      <c r="G14" s="29" t="n">
        <f aca="false">G7+G13</f>
        <v>7287706.8682237</v>
      </c>
      <c r="H14" s="29" t="n">
        <f aca="false">H7+H13</f>
        <v>9886679.08903372</v>
      </c>
      <c r="I14" s="29" t="n">
        <f aca="false">I7+I13</f>
        <v>12794616.1315152</v>
      </c>
      <c r="J14" s="29" t="n">
        <f aca="false">J7+J13</f>
        <v>14644964.9849941</v>
      </c>
      <c r="K14" s="29" t="n">
        <f aca="false">K7+K13</f>
        <v>14042682.1897212</v>
      </c>
      <c r="L14" s="29" t="n">
        <f aca="false">L7+L13</f>
        <v>11770565.8826318</v>
      </c>
      <c r="M14" s="29" t="n">
        <f aca="false">M7+M13</f>
        <v>9762869.75868593</v>
      </c>
      <c r="N14" s="29" t="n">
        <f aca="false">SUM(B14:M14)</f>
        <v>139751260.028818</v>
      </c>
    </row>
    <row r="15" customFormat="false" ht="15" hidden="false" customHeight="false" outlineLevel="0" collapsed="false">
      <c r="A15" s="5" t="s">
        <v>80</v>
      </c>
      <c r="B15" s="11" t="n">
        <f aca="false">IF(B5=0,0,B14/B5)</f>
        <v>0.0822685627235546</v>
      </c>
      <c r="C15" s="11" t="n">
        <f aca="false">IF(C5=0,0,C14/C5)</f>
        <v>0.123953046296274</v>
      </c>
      <c r="D15" s="11" t="n">
        <f aca="false">IF(D5=0,0,D14/D5)</f>
        <v>0.141319608608119</v>
      </c>
      <c r="E15" s="11" t="n">
        <f aca="false">IF(E5=0,0,E14/E5)</f>
        <v>0.047234340605687</v>
      </c>
      <c r="F15" s="11" t="n">
        <f aca="false">IF(F5=0,0,F14/F5)</f>
        <v>0.0324259488038578</v>
      </c>
      <c r="G15" s="11" t="n">
        <f aca="false">IF(G5=0,0,G14/G5)</f>
        <v>0.0697105432400499</v>
      </c>
      <c r="H15" s="11" t="n">
        <f aca="false">IF(H5=0,0,H14/H5)</f>
        <v>0.085999936979178</v>
      </c>
      <c r="I15" s="11" t="n">
        <f aca="false">IF(I5=0,0,I14/I5)</f>
        <v>0.101048023287874</v>
      </c>
      <c r="J15" s="11" t="n">
        <f aca="false">IF(J5=0,0,J14/J5)</f>
        <v>0.10926055906411</v>
      </c>
      <c r="K15" s="11" t="n">
        <f aca="false">IF(K5=0,0,K14/K5)</f>
        <v>0.106689019493726</v>
      </c>
      <c r="L15" s="11" t="n">
        <f aca="false">IF(L5=0,0,L14/L5)</f>
        <v>0.0960754093069232</v>
      </c>
      <c r="M15" s="11" t="n">
        <f aca="false">IF(M5=0,0,M14/M5)</f>
        <v>0.0852912150150843</v>
      </c>
      <c r="N15" s="11" t="n">
        <f aca="false">IF(N5=0,0,N14/N5)</f>
        <v>0.09544739928058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2026-10-20T21:37:46Z</dcterms:created>
  <dc:creator>Vinit Adke</dc:creator>
  <dc:description/>
  <dc:language>en-US</dc:language>
  <cp:lastModifiedBy>Vinit Adke</cp:lastModifiedBy>
  <dcterms:modified xsi:type="dcterms:W3CDTF">2026-10-20T21:37:46Z</dcterms:modified>
  <cp:revision>0</cp:revision>
  <dc:subject/>
  <dc:title>Summit Outfitters FP&amp;A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